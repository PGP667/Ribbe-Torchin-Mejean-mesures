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Halstead" sheetId="1" state="visible" r:id="rId3"/>
    <sheet name="LOC" sheetId="2" state="visible" r:id="rId4"/>
    <sheet name="CC" sheetId="3" state="visible" r:id="rId5"/>
    <sheet name="UFC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<sst xmlns="http://schemas.openxmlformats.org/spreadsheetml/2006/main" count="62" uniqueCount="52">
  <si>
    <t xml:space="preserve">Opérateurs</t>
  </si>
  <si>
    <t xml:space="preserve">Occurrences</t>
  </si>
  <si>
    <t xml:space="preserve">Opérandes</t>
  </si>
  <si>
    <t xml:space="preserve">void (déclaration de fonction)</t>
  </si>
  <si>
    <t xml:space="preserve">a</t>
  </si>
  <si>
    <t xml:space="preserve">if</t>
  </si>
  <si>
    <t xml:space="preserve">n</t>
  </si>
  <si>
    <t xml:space="preserve">&lt;= </t>
  </si>
  <si>
    <t xml:space="preserve">i</t>
  </si>
  <si>
    <t xml:space="preserve">return</t>
  </si>
  <si>
    <t xml:space="preserve">j</t>
  </si>
  <si>
    <t xml:space="preserve">for</t>
  </si>
  <si>
    <t xml:space="preserve">=</t>
  </si>
  <si>
    <t xml:space="preserve">&lt;</t>
  </si>
  <si>
    <t xml:space="preserve">swap()</t>
  </si>
  <si>
    <t xml:space="preserve">++</t>
  </si>
  <si>
    <t xml:space="preserve">iqsort0</t>
  </si>
  <si>
    <t xml:space="preserve">+</t>
  </si>
  <si>
    <t xml:space="preserve">-</t>
  </si>
  <si>
    <t xml:space="preserve">Nt =</t>
  </si>
  <si>
    <t xml:space="preserve">nd =</t>
  </si>
  <si>
    <t xml:space="preserve">Nombre total d’occurences Opérateur</t>
  </si>
  <si>
    <t xml:space="preserve">Nombre total d’Opérandes distinct</t>
  </si>
  <si>
    <t xml:space="preserve">nt =</t>
  </si>
  <si>
    <t xml:space="preserve">Nd =</t>
  </si>
  <si>
    <t xml:space="preserve">Nombre d’Opérateur distinct</t>
  </si>
  <si>
    <t xml:space="preserve">Nombre total d’occurences d’Opérandes</t>
  </si>
  <si>
    <t xml:space="preserve">Formules</t>
  </si>
  <si>
    <t xml:space="preserve">Total</t>
  </si>
  <si>
    <t xml:space="preserve">N = Nt + Nd</t>
  </si>
  <si>
    <t xml:space="preserve">n = nt + nd</t>
  </si>
  <si>
    <r>
      <rPr>
        <sz val="12"/>
        <color theme="1"/>
        <rFont val="Aptos Narrow"/>
        <family val="2"/>
        <charset val="1"/>
      </rPr>
      <t xml:space="preserve">Volume = N * log</t>
    </r>
    <r>
      <rPr>
        <vertAlign val="subscript"/>
        <sz val="12"/>
        <color theme="1"/>
        <rFont val="Aptos Narrow"/>
        <family val="2"/>
        <charset val="1"/>
      </rPr>
      <t xml:space="preserve">2</t>
    </r>
    <r>
      <rPr>
        <sz val="12"/>
        <color theme="1"/>
        <rFont val="Aptos Narrow"/>
        <family val="2"/>
        <charset val="1"/>
      </rPr>
      <t xml:space="preserve">(n)</t>
    </r>
  </si>
  <si>
    <t xml:space="preserve">Difficulté = (nt /2) * (Nd / nd)</t>
  </si>
  <si>
    <t xml:space="preserve">Effort = Difficulté * Volume</t>
  </si>
  <si>
    <t xml:space="preserve">Lignes</t>
  </si>
  <si>
    <t xml:space="preserve">Élément </t>
  </si>
  <si>
    <t xml:space="preserve">Valeurs</t>
  </si>
  <si>
    <t xml:space="preserve">Nombre de nœuds (N) :</t>
  </si>
  <si>
    <t xml:space="preserve">Nombre d’arêtes (E) :</t>
  </si>
  <si>
    <t xml:space="preserve">Calcul : 
(CC = [E – N] +2)</t>
  </si>
  <si>
    <t xml:space="preserve">Tableau des poids</t>
  </si>
  <si>
    <t xml:space="preserve">Catégorie</t>
  </si>
  <si>
    <t xml:space="preserve">Simple</t>
  </si>
  <si>
    <t xml:space="preserve">Moyen</t>
  </si>
  <si>
    <t xml:space="preserve">Difficile</t>
  </si>
  <si>
    <t xml:space="preserve">Entrées externes</t>
  </si>
  <si>
    <t xml:space="preserve">Sorties externes</t>
  </si>
  <si>
    <t xml:space="preserve">Requete externes</t>
  </si>
  <si>
    <t xml:space="preserve">Fichiers internes</t>
  </si>
  <si>
    <t xml:space="preserve">Fichiers externes</t>
  </si>
  <si>
    <t xml:space="preserve">Tableau des scores</t>
  </si>
  <si>
    <r>
      <rPr>
        <sz val="12"/>
        <color theme="1"/>
        <rFont val="Aptos Narrow"/>
        <family val="2"/>
        <charset val="1"/>
      </rPr>
      <t xml:space="preserve">Formule UFC score :
</t>
    </r>
    <r>
      <rPr>
        <sz val="9"/>
        <color theme="1"/>
        <rFont val="Aptos Narrow"/>
        <family val="2"/>
        <charset val="1"/>
      </rPr>
      <t xml:space="preserve">(use de SOMMEPROD) 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</si>
</sst>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2"/>
      <color theme="1"/>
      <name val="Aptos Narrow"/>
      <family val="2"/>
      <charset val="1"/>
    </font>
    <font>
      <vertAlign val="subscript"/>
      <sz val="12"/>
      <color theme="1"/>
      <name val="Aptos Narrow"/>
      <family val="2"/>
      <charset val="1"/>
    </font>
    <font>
      <b val="true"/>
      <sz val="15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color theme="1"/>
      <name val="Aptos Narrow"/>
      <family val="2"/>
      <charset val="1"/>
    </font>
    <font>
      <sz val="12"/>
      <color theme="1"/>
      <name val="Aptos Narrow"/>
      <family val="2"/>
    </font>
    <font>
      <sz val="9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0" colorId="64" zoomScale="130" zoomScaleNormal="130" zoomScalePageLayoutView="100" workbookViewId="0">
      <selection pane="topLeft" activeCell="C22" activeCellId="0" sqref="C22"/>
    </sheetView>
  </sheetViews>
  <sheetFormatPr defaultColWidth="11.74609375" defaultRowHeight="12.8" customHeight="false" zeroHeight="false" outlineLevelRow="0" outlineLevelCol="0"/>
  <cols>
    <col collapsed="false" customWidth="true" hidden="false" outlineLevel="0" max="1" min="1" style="1" width="31.34"/>
    <col collapsed="false" customWidth="true" hidden="false" outlineLevel="0" max="3" min="3" style="1" width="33.51"/>
  </cols>
  <sheetData>
    <row r="1" customFormat="false" ht="15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1</v>
      </c>
    </row>
    <row r="2" customFormat="false" ht="15" hidden="false" customHeight="false" outlineLevel="0" collapsed="false">
      <c r="A2" s="2" t="s">
        <v>3</v>
      </c>
      <c r="B2" s="1" t="n">
        <v>1</v>
      </c>
      <c r="D2" s="3" t="s">
        <v>4</v>
      </c>
      <c r="E2" s="1" t="n">
        <v>7</v>
      </c>
    </row>
    <row r="3" customFormat="false" ht="15" hidden="false" customHeight="false" outlineLevel="0" collapsed="false">
      <c r="A3" s="2" t="s">
        <v>5</v>
      </c>
      <c r="B3" s="1" t="n">
        <v>2</v>
      </c>
      <c r="D3" s="3" t="s">
        <v>6</v>
      </c>
      <c r="E3" s="1" t="n">
        <v>4</v>
      </c>
    </row>
    <row r="4" customFormat="false" ht="15" hidden="false" customHeight="false" outlineLevel="0" collapsed="false">
      <c r="A4" s="2" t="s">
        <v>7</v>
      </c>
      <c r="B4" s="1" t="n">
        <v>1</v>
      </c>
      <c r="D4" s="3" t="s">
        <v>8</v>
      </c>
      <c r="E4" s="1" t="n">
        <v>6</v>
      </c>
    </row>
    <row r="5" customFormat="false" ht="15" hidden="false" customHeight="false" outlineLevel="0" collapsed="false">
      <c r="A5" s="2" t="s">
        <v>9</v>
      </c>
      <c r="B5" s="1" t="n">
        <v>1</v>
      </c>
      <c r="D5" s="3" t="s">
        <v>10</v>
      </c>
      <c r="E5" s="1" t="n">
        <v>7</v>
      </c>
    </row>
    <row r="6" customFormat="false" ht="15" hidden="false" customHeight="false" outlineLevel="0" collapsed="false">
      <c r="A6" s="2" t="s">
        <v>11</v>
      </c>
      <c r="B6" s="1" t="n">
        <v>1</v>
      </c>
      <c r="D6" s="3" t="n">
        <v>0</v>
      </c>
      <c r="E6" s="1" t="n">
        <v>3</v>
      </c>
    </row>
    <row r="7" customFormat="false" ht="15" hidden="false" customHeight="false" outlineLevel="0" collapsed="false">
      <c r="A7" s="2" t="s">
        <v>12</v>
      </c>
      <c r="B7" s="1" t="n">
        <v>2</v>
      </c>
      <c r="D7" s="3" t="n">
        <v>1</v>
      </c>
      <c r="E7" s="1" t="n">
        <v>4</v>
      </c>
    </row>
    <row r="8" customFormat="false" ht="15" hidden="false" customHeight="false" outlineLevel="0" collapsed="false">
      <c r="A8" s="2" t="s">
        <v>13</v>
      </c>
      <c r="B8" s="1" t="n">
        <v>2</v>
      </c>
      <c r="D8" s="3" t="s">
        <v>14</v>
      </c>
      <c r="E8" s="1" t="n">
        <v>2</v>
      </c>
    </row>
    <row r="9" customFormat="false" ht="15" hidden="false" customHeight="false" outlineLevel="0" collapsed="false">
      <c r="A9" s="2" t="s">
        <v>15</v>
      </c>
      <c r="B9" s="1" t="n">
        <v>2</v>
      </c>
      <c r="D9" s="3" t="s">
        <v>16</v>
      </c>
      <c r="E9" s="1" t="n">
        <v>2</v>
      </c>
    </row>
    <row r="10" customFormat="false" ht="15" hidden="false" customHeight="false" outlineLevel="0" collapsed="false">
      <c r="A10" s="2" t="s">
        <v>17</v>
      </c>
      <c r="B10" s="1" t="n">
        <v>2</v>
      </c>
    </row>
    <row r="11" customFormat="false" ht="15" hidden="false" customHeight="false" outlineLevel="0" collapsed="false">
      <c r="A11" s="2" t="s">
        <v>18</v>
      </c>
      <c r="B11" s="1" t="n">
        <v>2</v>
      </c>
    </row>
    <row r="12" customFormat="false" ht="15" hidden="false" customHeight="false" outlineLevel="0" collapsed="false">
      <c r="A12" s="4" t="s">
        <v>19</v>
      </c>
      <c r="B12" s="3" t="n">
        <f aca="false">SUM(B2:B11)</f>
        <v>16</v>
      </c>
      <c r="C12" s="4" t="s">
        <v>20</v>
      </c>
      <c r="D12" s="3" t="n">
        <f aca="false">ROWS(D2:D9)</f>
        <v>8</v>
      </c>
    </row>
    <row r="13" customFormat="false" ht="15" hidden="false" customHeight="false" outlineLevel="0" collapsed="false">
      <c r="A13" s="5" t="s">
        <v>21</v>
      </c>
      <c r="C13" s="1" t="s">
        <v>22</v>
      </c>
    </row>
    <row r="14" customFormat="false" ht="15" hidden="false" customHeight="false" outlineLevel="0" collapsed="false">
      <c r="A14" s="4" t="s">
        <v>23</v>
      </c>
      <c r="B14" s="3" t="n">
        <f aca="false">ROWS(B2:B11)</f>
        <v>10</v>
      </c>
      <c r="C14" s="4" t="s">
        <v>24</v>
      </c>
      <c r="D14" s="3" t="n">
        <f aca="false">SUM(E2:E9)</f>
        <v>35</v>
      </c>
    </row>
    <row r="15" customFormat="false" ht="15" hidden="false" customHeight="false" outlineLevel="0" collapsed="false">
      <c r="A15" s="1" t="s">
        <v>25</v>
      </c>
      <c r="C15" s="1" t="s">
        <v>26</v>
      </c>
    </row>
    <row r="16" customFormat="false" ht="15" hidden="false" customHeight="false" outlineLevel="0" collapsed="false"/>
    <row r="17" customFormat="false" ht="15" hidden="false" customHeight="false" outlineLevel="0" collapsed="false">
      <c r="A17" s="1" t="s">
        <v>27</v>
      </c>
      <c r="B17" s="1" t="s">
        <v>28</v>
      </c>
    </row>
    <row r="18" customFormat="false" ht="15" hidden="false" customHeight="false" outlineLevel="0" collapsed="false">
      <c r="A18" s="1" t="s">
        <v>29</v>
      </c>
      <c r="B18" s="1" t="n">
        <f aca="false">B12+D14</f>
        <v>51</v>
      </c>
    </row>
    <row r="19" customFormat="false" ht="15" hidden="false" customHeight="false" outlineLevel="0" collapsed="false">
      <c r="A19" s="1" t="s">
        <v>30</v>
      </c>
      <c r="B19" s="1" t="n">
        <f aca="false">B14+D12</f>
        <v>18</v>
      </c>
    </row>
    <row r="20" customFormat="false" ht="15.5" hidden="false" customHeight="false" outlineLevel="0" collapsed="false">
      <c r="A20" s="1" t="s">
        <v>31</v>
      </c>
      <c r="B20" s="1" t="n">
        <f aca="false">B18*LOG(B19,2)</f>
        <v>212.666175073558</v>
      </c>
    </row>
    <row r="21" customFormat="false" ht="15" hidden="false" customHeight="false" outlineLevel="0" collapsed="false">
      <c r="A21" s="1" t="s">
        <v>32</v>
      </c>
      <c r="B21" s="1" t="n">
        <f aca="false">(B14/2)*(D14/D12)</f>
        <v>21.875</v>
      </c>
    </row>
    <row r="22" customFormat="false" ht="15" hidden="false" customHeight="false" outlineLevel="0" collapsed="false">
      <c r="A22" s="1" t="s">
        <v>33</v>
      </c>
      <c r="B22" s="1" t="n">
        <f aca="false">B21*B20</f>
        <v>4652.07257973408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0" sqref="B1"/>
    </sheetView>
  </sheetViews>
  <sheetFormatPr defaultColWidth="10.4609375" defaultRowHeight="15.75" customHeight="false" zeroHeight="false" outlineLevelRow="0" outlineLevelCol="0"/>
  <sheetData>
    <row r="1" customFormat="false" ht="15.75" hidden="false" customHeight="false" outlineLevel="0" collapsed="false">
      <c r="A1" s="2" t="s">
        <v>34</v>
      </c>
      <c r="B1" s="2" t="n">
        <v>920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8" activeCellId="0" sqref="C8"/>
    </sheetView>
  </sheetViews>
  <sheetFormatPr defaultColWidth="11.74609375" defaultRowHeight="12.8" customHeight="false" zeroHeight="false" outlineLevelRow="0" outlineLevelCol="0"/>
  <cols>
    <col collapsed="false" customWidth="true" hidden="false" outlineLevel="0" max="1" min="1" style="2" width="23.81"/>
    <col collapsed="false" customWidth="true" hidden="false" outlineLevel="0" max="2" min="2" style="2" width="13.08"/>
  </cols>
  <sheetData>
    <row r="1" customFormat="false" ht="18.55" hidden="false" customHeight="false" outlineLevel="0" collapsed="false">
      <c r="A1" s="6" t="s">
        <v>35</v>
      </c>
      <c r="B1" s="7" t="s">
        <v>36</v>
      </c>
    </row>
    <row r="2" customFormat="false" ht="27.5" hidden="false" customHeight="true" outlineLevel="0" collapsed="false">
      <c r="A2" s="8" t="s">
        <v>37</v>
      </c>
      <c r="B2" s="9" t="n">
        <v>12</v>
      </c>
      <c r="C2" s="9"/>
      <c r="D2" s="9"/>
      <c r="E2" s="9"/>
      <c r="F2" s="9"/>
      <c r="G2" s="9"/>
    </row>
    <row r="3" customFormat="false" ht="31.5" hidden="false" customHeight="true" outlineLevel="0" collapsed="false">
      <c r="A3" s="10" t="s">
        <v>38</v>
      </c>
      <c r="B3" s="9" t="n">
        <v>14</v>
      </c>
      <c r="C3" s="9"/>
      <c r="D3" s="9"/>
      <c r="E3" s="9"/>
      <c r="F3" s="9"/>
      <c r="G3" s="9"/>
    </row>
    <row r="4" customFormat="false" ht="34.5" hidden="false" customHeight="true" outlineLevel="0" collapsed="false">
      <c r="A4" s="11" t="s">
        <v>39</v>
      </c>
      <c r="B4" s="9" t="n">
        <f aca="false">B3 - B2 + 2</f>
        <v>4</v>
      </c>
      <c r="C4" s="9"/>
      <c r="D4" s="9"/>
      <c r="E4" s="9"/>
      <c r="F4" s="9"/>
      <c r="G4" s="9"/>
    </row>
    <row r="5" customFormat="false" ht="15" hidden="false" customHeight="false" outlineLevel="0" collapsed="false">
      <c r="A5" s="12"/>
      <c r="B5" s="9"/>
      <c r="C5" s="9"/>
      <c r="D5" s="9"/>
      <c r="E5" s="9"/>
      <c r="F5" s="9"/>
      <c r="G5" s="9"/>
    </row>
    <row r="6" customFormat="false" ht="15" hidden="false" customHeight="false" outlineLevel="0" collapsed="false">
      <c r="A6" s="12"/>
      <c r="B6" s="9"/>
      <c r="C6" s="9"/>
      <c r="D6" s="9"/>
      <c r="E6" s="9"/>
      <c r="F6" s="9"/>
      <c r="G6" s="9"/>
    </row>
    <row r="7" customFormat="false" ht="15" hidden="false" customHeight="false" outlineLevel="0" collapsed="false">
      <c r="A7" s="12"/>
      <c r="B7" s="9"/>
      <c r="C7" s="9"/>
      <c r="D7" s="9"/>
      <c r="E7" s="9"/>
      <c r="F7" s="9"/>
      <c r="G7" s="9"/>
    </row>
    <row r="8" customFormat="false" ht="15" hidden="false" customHeight="false" outlineLevel="0" collapsed="false">
      <c r="A8" s="12"/>
      <c r="B8" s="9"/>
      <c r="C8" s="9"/>
      <c r="D8" s="9"/>
      <c r="E8" s="9"/>
      <c r="F8" s="9"/>
      <c r="G8" s="9"/>
    </row>
    <row r="9" customFormat="false" ht="15" hidden="false" customHeight="false" outlineLevel="0" collapsed="false">
      <c r="A9" s="12"/>
      <c r="B9" s="9"/>
      <c r="C9" s="9"/>
      <c r="D9" s="9"/>
      <c r="E9" s="9"/>
      <c r="F9" s="9"/>
      <c r="G9" s="9"/>
    </row>
    <row r="10" customFormat="false" ht="15" hidden="false" customHeight="false" outlineLevel="0" collapsed="false">
      <c r="A10" s="12"/>
      <c r="B10" s="9"/>
      <c r="C10" s="9"/>
      <c r="D10" s="9"/>
      <c r="E10" s="9"/>
      <c r="F10" s="9"/>
      <c r="G10" s="9"/>
    </row>
    <row r="11" customFormat="false" ht="15" hidden="false" customHeight="false" outlineLevel="0" collapsed="false">
      <c r="A11" s="12"/>
      <c r="B11" s="9"/>
      <c r="C11" s="9"/>
      <c r="D11" s="9"/>
      <c r="E11" s="9"/>
      <c r="F11" s="9"/>
      <c r="G11" s="9"/>
    </row>
    <row r="12" customFormat="false" ht="15" hidden="false" customHeight="false" outlineLevel="0" collapsed="false">
      <c r="A12" s="12"/>
      <c r="B12" s="9"/>
      <c r="C12" s="9"/>
      <c r="D12" s="9"/>
      <c r="E12" s="9"/>
      <c r="F12" s="9"/>
      <c r="G12" s="9"/>
    </row>
    <row r="13" customFormat="false" ht="15" hidden="false" customHeight="false" outlineLevel="0" collapsed="false">
      <c r="A13" s="12"/>
      <c r="B13" s="9"/>
      <c r="C13" s="9"/>
      <c r="D13" s="9"/>
      <c r="E13" s="9"/>
      <c r="F13" s="9"/>
      <c r="G13" s="9"/>
    </row>
    <row r="14" customFormat="false" ht="15" hidden="false" customHeight="false" outlineLevel="0" collapsed="false">
      <c r="A14" s="12"/>
      <c r="B14" s="9"/>
      <c r="C14" s="9"/>
      <c r="D14" s="9"/>
      <c r="E14" s="9"/>
      <c r="F14" s="9"/>
      <c r="G14" s="9"/>
    </row>
    <row r="15" customFormat="false" ht="15" hidden="false" customHeight="false" outlineLevel="0" collapsed="false">
      <c r="A15" s="12"/>
      <c r="B15" s="9"/>
      <c r="C15" s="9"/>
      <c r="D15" s="9"/>
      <c r="E15" s="9"/>
      <c r="F15" s="9"/>
      <c r="G15" s="9"/>
    </row>
    <row r="16" customFormat="false" ht="15" hidden="false" customHeight="false" outlineLevel="0" collapsed="false">
      <c r="A16" s="12"/>
      <c r="B16" s="9"/>
      <c r="C16" s="9"/>
      <c r="D16" s="9"/>
      <c r="E16" s="9"/>
      <c r="F16" s="9"/>
      <c r="G16" s="9"/>
    </row>
    <row r="17" customFormat="false" ht="15" hidden="false" customHeight="false" outlineLevel="0" collapsed="false">
      <c r="A17" s="12"/>
      <c r="B17" s="9"/>
      <c r="C17" s="9"/>
      <c r="D17" s="9"/>
      <c r="E17" s="9"/>
      <c r="F17" s="9"/>
      <c r="G17" s="9"/>
    </row>
    <row r="18" customFormat="false" ht="15" hidden="false" customHeight="false" outlineLevel="0" collapsed="false">
      <c r="A18" s="12"/>
      <c r="B18" s="9"/>
      <c r="C18" s="9"/>
      <c r="D18" s="9"/>
      <c r="E18" s="9"/>
      <c r="F18" s="9"/>
      <c r="G18" s="9"/>
    </row>
    <row r="19" customFormat="false" ht="15" hidden="false" customHeight="false" outlineLevel="0" collapsed="false">
      <c r="A19" s="12"/>
      <c r="B19" s="9"/>
      <c r="C19" s="9"/>
      <c r="D19" s="9"/>
      <c r="E19" s="9"/>
      <c r="F19" s="9"/>
      <c r="G19" s="9"/>
    </row>
    <row r="20" customFormat="false" ht="15" hidden="false" customHeight="false" outlineLevel="0" collapsed="false">
      <c r="A20" s="12"/>
      <c r="B20" s="9"/>
      <c r="C20" s="9"/>
      <c r="D20" s="9"/>
      <c r="E20" s="9"/>
      <c r="F20" s="9"/>
      <c r="G20" s="9"/>
    </row>
    <row r="21" customFormat="false" ht="15" hidden="false" customHeight="false" outlineLevel="0" collapsed="false">
      <c r="A21" s="12"/>
      <c r="B21" s="9"/>
      <c r="C21" s="9"/>
      <c r="D21" s="9"/>
      <c r="E21" s="9"/>
      <c r="F21" s="9"/>
      <c r="G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E22" activeCellId="0" sqref="E22"/>
    </sheetView>
  </sheetViews>
  <sheetFormatPr defaultColWidth="11.74609375" defaultRowHeight="12.8" customHeight="false" zeroHeight="false" outlineLevelRow="0" outlineLevelCol="0"/>
  <cols>
    <col collapsed="false" customWidth="true" hidden="false" outlineLevel="0" max="1" min="1" style="0" width="17.74"/>
  </cols>
  <sheetData>
    <row r="1" customFormat="false" ht="35.35" hidden="false" customHeight="true" outlineLevel="0" collapsed="false">
      <c r="A1" s="13" t="s">
        <v>40</v>
      </c>
      <c r="B1" s="13"/>
    </row>
    <row r="2" customFormat="false" ht="20.35" hidden="false" customHeight="true" outlineLevel="0" collapsed="false">
      <c r="A2" s="14" t="s">
        <v>41</v>
      </c>
      <c r="B2" s="15" t="s">
        <v>42</v>
      </c>
      <c r="C2" s="15" t="s">
        <v>43</v>
      </c>
      <c r="D2" s="15" t="s">
        <v>44</v>
      </c>
    </row>
    <row r="3" customFormat="false" ht="19.2" hidden="false" customHeight="true" outlineLevel="0" collapsed="false">
      <c r="A3" s="16" t="s">
        <v>45</v>
      </c>
      <c r="B3" s="0" t="n">
        <v>3</v>
      </c>
      <c r="C3" s="0" t="n">
        <v>4</v>
      </c>
      <c r="D3" s="0" t="n">
        <v>6</v>
      </c>
    </row>
    <row r="4" customFormat="false" ht="20" hidden="false" customHeight="true" outlineLevel="0" collapsed="false">
      <c r="A4" s="17" t="s">
        <v>46</v>
      </c>
      <c r="B4" s="0" t="n">
        <v>4</v>
      </c>
      <c r="C4" s="0" t="n">
        <v>5</v>
      </c>
      <c r="D4" s="0" t="n">
        <v>7</v>
      </c>
    </row>
    <row r="5" customFormat="false" ht="20" hidden="false" customHeight="true" outlineLevel="0" collapsed="false">
      <c r="A5" s="17" t="s">
        <v>47</v>
      </c>
      <c r="B5" s="0" t="n">
        <v>3</v>
      </c>
      <c r="C5" s="0" t="n">
        <v>4</v>
      </c>
      <c r="D5" s="0" t="n">
        <v>6</v>
      </c>
    </row>
    <row r="6" customFormat="false" ht="22.3" hidden="false" customHeight="true" outlineLevel="0" collapsed="false">
      <c r="A6" s="16" t="s">
        <v>48</v>
      </c>
      <c r="B6" s="0" t="n">
        <v>7</v>
      </c>
      <c r="C6" s="0" t="n">
        <v>10</v>
      </c>
      <c r="D6" s="0" t="n">
        <v>15</v>
      </c>
    </row>
    <row r="7" customFormat="false" ht="22.3" hidden="false" customHeight="true" outlineLevel="0" collapsed="false">
      <c r="A7" s="17" t="s">
        <v>49</v>
      </c>
      <c r="B7" s="0" t="n">
        <v>5</v>
      </c>
      <c r="C7" s="0" t="n">
        <v>7</v>
      </c>
      <c r="D7" s="0" t="n">
        <v>10</v>
      </c>
    </row>
    <row r="10" customFormat="false" ht="32.65" hidden="false" customHeight="true" outlineLevel="0" collapsed="false">
      <c r="A10" s="13" t="s">
        <v>50</v>
      </c>
      <c r="B10" s="13"/>
    </row>
    <row r="11" customFormat="false" ht="15" hidden="false" customHeight="false" outlineLevel="0" collapsed="false">
      <c r="A11" s="14" t="s">
        <v>41</v>
      </c>
      <c r="B11" s="15" t="s">
        <v>42</v>
      </c>
      <c r="C11" s="15" t="s">
        <v>43</v>
      </c>
      <c r="D11" s="15" t="s">
        <v>44</v>
      </c>
    </row>
    <row r="12" customFormat="false" ht="18.05" hidden="false" customHeight="true" outlineLevel="0" collapsed="false">
      <c r="A12" s="16" t="s">
        <v>45</v>
      </c>
      <c r="B12" s="0" t="n">
        <v>4</v>
      </c>
      <c r="C12" s="0" t="n">
        <v>3</v>
      </c>
      <c r="D12" s="0" t="n">
        <v>1</v>
      </c>
    </row>
    <row r="13" customFormat="false" ht="18.45" hidden="false" customHeight="true" outlineLevel="0" collapsed="false">
      <c r="A13" s="17" t="s">
        <v>46</v>
      </c>
      <c r="B13" s="0" t="n">
        <v>0</v>
      </c>
      <c r="C13" s="0" t="n">
        <v>2</v>
      </c>
      <c r="D13" s="0" t="n">
        <v>1</v>
      </c>
    </row>
    <row r="14" customFormat="false" ht="19.2" hidden="false" customHeight="true" outlineLevel="0" collapsed="false">
      <c r="A14" s="17" t="s">
        <v>47</v>
      </c>
      <c r="B14" s="0" t="n">
        <v>7</v>
      </c>
      <c r="C14" s="0" t="n">
        <v>0</v>
      </c>
      <c r="D14" s="0" t="n">
        <v>0</v>
      </c>
    </row>
    <row r="15" customFormat="false" ht="19.2" hidden="false" customHeight="true" outlineLevel="0" collapsed="false">
      <c r="A15" s="16" t="s">
        <v>48</v>
      </c>
      <c r="B15" s="0" t="n">
        <v>3</v>
      </c>
      <c r="C15" s="0" t="n">
        <v>0</v>
      </c>
      <c r="D15" s="0" t="n">
        <v>0</v>
      </c>
    </row>
    <row r="16" customFormat="false" ht="18.05" hidden="false" customHeight="true" outlineLevel="0" collapsed="false">
      <c r="A16" s="17" t="s">
        <v>49</v>
      </c>
      <c r="B16" s="0" t="n">
        <v>0</v>
      </c>
      <c r="C16" s="0" t="n">
        <v>5</v>
      </c>
      <c r="D16" s="0" t="n">
        <v>2</v>
      </c>
    </row>
    <row r="17" customFormat="false" ht="8.45" hidden="false" customHeight="true" outlineLevel="0" collapsed="false">
      <c r="A17" s="18"/>
      <c r="B17" s="18"/>
      <c r="C17" s="18"/>
      <c r="D17" s="18"/>
    </row>
    <row r="18" customFormat="false" ht="8.05" hidden="false" customHeight="true" outlineLevel="0" collapsed="false"/>
    <row r="19" customFormat="false" ht="8.05" hidden="false" customHeight="true" outlineLevel="0" collapsed="false"/>
    <row r="20" customFormat="false" ht="33.05" hidden="false" customHeight="true" outlineLevel="0" collapsed="false">
      <c r="A20" s="19" t="s">
        <v>51</v>
      </c>
      <c r="B20" s="0" t="n">
        <f aca="false">SUMPRODUCT(B3:D7,B12:D16)</f>
        <v>144</v>
      </c>
    </row>
    <row r="21" customFormat="false" ht="27.3" hidden="false" customHeight="true" outlineLevel="0" collapsed="false"/>
  </sheetData>
  <mergeCells count="2">
    <mergeCell ref="A1:B1"/>
    <mergeCell ref="A10:B1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Roman,Normal"&amp;Kffffff&amp;A</oddHeader>
    <oddFooter>&amp;C&amp;"Times New Roman,Normal"&amp;KffffffPage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LibreOffice/25.8.7.2$Windows_X86_64 LibreOffice_project/e9cfafff50477fae0fcf42925ebd2aec2bdc5df4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2026-09-28T13:17:57Z</dcterms:created>
  <dc:creator>RIBBE Jules</dc:creator>
  <dc:description/>
  <dc:language>fr-FR</dc:language>
  <cp:lastModifiedBy/>
  <dcterms:modified xsi:type="dcterms:W3CDTF">2026-10-08T14:27:06Z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