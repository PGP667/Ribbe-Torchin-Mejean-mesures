
<file path=[Content_Types].xml><?xml version="1.0" encoding="utf-8"?>
<ns0:Types xmlns:ns0="http://schemas.openxmlformats.org/package/2006/content-types">
  <ns0:Default Extension="fntdata" ContentType="application/x-fontdata"/>
  <ns0:Default Extension="jpeg" ContentType="image/jpeg"/>
  <ns0:Default Extension="png" ContentType="image/png"/>
  <ns0:Default Extension="rels" ContentType="application/vnd.openxmlformats-package.relationships+xml"/>
  <ns0:Default Extension="xml" ContentType="application/xml"/>
  <ns0:Override PartName="/docProps/custom.xml" ContentType="application/vnd.openxmlformats-officedocument.custom-propertie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styles.xml" ContentType="application/vnd.openxmlformats-officedocument.spreadsheetml.styles+xml"/>
  <ns0:Override PartName="/xl/workbook.xml" ContentType="application/vnd.openxmlformats-officedocument.spreadsheetml.sheet.main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8.xml" ContentType="application/vnd.openxmlformats-officedocument.spreadsheetml.worksheet+xml"/>
</ns0: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Halstead" sheetId="1" state="visible" ns1:id="rId3"/>
    <sheet name="LOC-Q6" sheetId="2" state="visible" ns1:id="rId4"/>
    <sheet name="CC" sheetId="3" state="visible" ns1:id="rId5"/>
    <sheet name="UFC-Q8" sheetId="4" state="visible" ns1:id="rId6"/>
    <sheet name="UFC-Q9" sheetId="5" state="visible" ns1:id="rId7"/>
    <sheet name="MI-Q10" sheetId="6" state="visible" ns1:id="rId8"/>
    <sheet name="MI-Q11" sheetId="7" state="visible" ns1:id="rId9"/>
    <sheet name="TFC-Q12" sheetId="8" ns1:id="rIdQ12"/>
  </sheets>
  <calcPr iterateCount="100" refMode="A1" iterate="false" iterateDelta="0.0001"/>
  <extLst>
    <ext uri="{7626C862-2A13-11E5-B345-FEFF819CDC9F}">
      <ns2:extCalcPr stringRefSyntax="ExcelA1"/>
    </ext>
  </extLst>
</workbook>
</file>

<file path=xl/sharedStrings.xml><?xml version="1.0" encoding="utf-8"?>
<sst xmlns="http://schemas.openxmlformats.org/spreadsheetml/2006/main" count="99" uniqueCount="74">
  <si>
    <t xml:space="preserve">Opérateurs</t>
  </si>
  <si>
    <t xml:space="preserve">Occurrences</t>
  </si>
  <si>
    <t xml:space="preserve">Opérandes</t>
  </si>
  <si>
    <t xml:space="preserve">void (déclaration de fonction)</t>
  </si>
  <si>
    <t xml:space="preserve">a</t>
  </si>
  <si>
    <t xml:space="preserve">if</t>
  </si>
  <si>
    <t xml:space="preserve">n</t>
  </si>
  <si>
    <t xml:space="preserve">&lt;= </t>
  </si>
  <si>
    <t xml:space="preserve">i</t>
  </si>
  <si>
    <t xml:space="preserve">return</t>
  </si>
  <si>
    <t xml:space="preserve">j</t>
  </si>
  <si>
    <t xml:space="preserve">for</t>
  </si>
  <si>
    <t xml:space="preserve">=</t>
  </si>
  <si>
    <t xml:space="preserve">&lt;</t>
  </si>
  <si>
    <t xml:space="preserve">swap()</t>
  </si>
  <si>
    <t xml:space="preserve">++</t>
  </si>
  <si>
    <t xml:space="preserve">iqsort0</t>
  </si>
  <si>
    <t xml:space="preserve">+</t>
  </si>
  <si>
    <t xml:space="preserve">-</t>
  </si>
  <si>
    <t xml:space="preserve">Nt =</t>
  </si>
  <si>
    <t xml:space="preserve">nd =</t>
  </si>
  <si>
    <t xml:space="preserve">Nombre total d’occurences Opérateur</t>
  </si>
  <si>
    <t xml:space="preserve">Nombre total d’Opérandes distinct</t>
  </si>
  <si>
    <t xml:space="preserve">nt =</t>
  </si>
  <si>
    <t xml:space="preserve">Nd =</t>
  </si>
  <si>
    <t xml:space="preserve">Nombre d’Opérateur distinct</t>
  </si>
  <si>
    <t xml:space="preserve">Nombre total d’occurences d’Opérandes</t>
  </si>
  <si>
    <t xml:space="preserve">Formules</t>
  </si>
  <si>
    <t xml:space="preserve">Total</t>
  </si>
  <si>
    <t xml:space="preserve">N = Nt + Nd</t>
  </si>
  <si>
    <t xml:space="preserve">n = nt + nd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</si>
  <si>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</si>
  <si>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</si>
  <si>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</si>
  <si>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</si>
  <si>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</si>
  <si>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</si>
  <si>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</si>
  <si>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</si>
  <si>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</si>
  <si>
    <t xml:space="preserve">Tableau des poids</t>
  </si>
  <si>
    <t xml:space="preserve">Catégorie</t>
  </si>
  <si>
    <t xml:space="preserve">Simple</t>
  </si>
  <si>
    <t xml:space="preserve">Moyen</t>
  </si>
  <si>
    <t xml:space="preserve">Difficile</t>
  </si>
  <si>
    <t xml:space="preserve">Entrées externes</t>
  </si>
  <si>
    <t xml:space="preserve">Sorties externes</t>
  </si>
  <si>
    <t xml:space="preserve">Requete externes</t>
  </si>
  <si>
    <t xml:space="preserve">Fichiers internes</t>
  </si>
  <si>
    <t xml:space="preserve">Fichiers externes</t>
  </si>
  <si>
    <t xml:space="preserve">Tableau des scores</t>
  </si>
  <si>
    <r>
      <rPr>
        <sz val="12"/>
        <color theme="1"/>
        <rFont val="Aptos Narrow"/>
        <family val="2"/>
        <charset val="1"/>
      </rPr>
      <t xml:space="preserve">Formule UFC score :
</t>
    </r>
    <r>
      <rPr>
        <sz val="9"/>
        <color theme="1"/>
        <rFont val="Aptos Narrow"/>
        <family val="2"/>
        <charset val="1"/>
      </rPr>
      <t xml:space="preserve">(use de SOMMEPROD) </t>
    </r>
  </si>
  <si>
    <t xml:space="preserve">Q9 - Points de fonction de QuickSort</t>
  </si>
  <si>
    <t xml:space="preserve">Poids</t>
  </si>
  <si>
    <t xml:space="preserve">Scores</t>
  </si>
  <si>
    <t xml:space="preserve">Total pondéré</t>
  </si>
  <si>
    <t xml:space="preserve">Requêtes externes</t>
  </si>
  <si>
    <t xml:space="preserve">UFC</t>
  </si>
  <si>
    <t xml:space="preserve">Hypothèses et justification</t>
  </si>
  <si>
    <t xml:space="preserve">Périmètre : adaptation pédagogique au service de tri iqsort0(a, n), appelé depuis l’extérieur.</t>
  </si>
  <si>
    <t xml:space="preserve">Entrée simple : une demande de tri reçoit le tableau a et sa taille n. Les deux paramètres constituent une seule entrée.</t>
  </si>
  <si>
    <t xml:space="preserve">Sortie simple : le tableau trié est accessible à l’appelant après modification en place, même si la fonction est void.</t>
  </si>
  <si>
    <t xml:space="preserve">Requêtes externes : aucune consultation distincte du tri. Les comparaisons et appels récursifs sont internes au traitement.</t>
  </si>
  <si>
    <t xml:space="preserve">Fichiers internes et externes : aucun fichier ni groupe de données persistant dans le code étudié. Le tableau est en mémoire.</t>
  </si>
  <si>
    <t xml:space="preserve">Niveau simple retenu pour les échanges : une liste d’entiers et sa taille, sans format complexe. Ce choix ne mesure pas la difficulté du tri.</t>
  </si>
  <si>
    <t xml:space="preserve">Cette adaptation suppose que le tableau trié compte comme sortie du service. Ce n’est pas un décompte normalisé établi par le CM.</t>
  </si>
  <si>
    <t xml:space="preserve">Les poids sont conservés du CM ; les scores de son exemple sont remplacés par les nombres d’interactions retenus pour QuickSort.</t>
  </si>
  <si>
    <t xml:space="preserve">Sources : CM R5.A.08, « Méthode des points de fonction d’Albrecht », p. 46 ; TP Mesures logicielles, exercice 2, Q4 et Q9.</t>
  </si>
  <si>
    <t xml:space="preserve">HV</t>
  </si>
  <si>
    <t xml:space="preserve">LOC</t>
  </si>
  <si>
    <t xml:space="preserve">CC</t>
  </si>
  <si>
    <t xml:space="preserve">COM</t>
  </si>
  <si>
    <t xml:space="preserve">MI</t>
  </si>
  <si>
    <t xml:space="preserve">LOC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</si>
</sst>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"/>
    <numFmt numFmtId="167" formatCode="0.00"/>
  </numFmts>
  <fonts count="31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12"/>
      <color theme="1"/>
      <name val="Aptos Narrow"/>
      <family val="2"/>
    </font>
    <font>
      <sz val="9"/>
      <color theme="1"/>
      <name val="Aptos Narrow"/>
      <family val="2"/>
      <charset val="1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1"/>
      <name val="Carlito"/>
    </font>
    <font>
      <sz val="11"/>
      <name val="Arial"/>
    </font>
    <font>
      <b/>
      <sz val="14"/>
      <name val="Arial"/>
    </font>
    <font>
      <sz val="9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FF2CC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/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0" fontId="14" fillId="4" borderId="4" xfId="0"/>
    <xf numFmtId="0" fontId="20" fillId="4" borderId="4" xfId="0" applyFont="1" applyAlignment="1">
      <alignment vertical="center"/>
    </xf>
    <xf numFmtId="0" fontId="14" fillId="4" borderId="4" xfId="0" applyAlignment="1">
      <alignment horizontal="left"/>
    </xf>
    <xf numFmtId="0" fontId="14" fillId="4" borderId="4" xfId="0" applyAlignment="1">
      <alignment horizontal="right"/>
    </xf>
    <xf numFmtId="0" fontId="15" fillId="4" borderId="4" xfId="0" applyFont="1" applyAlignment="1">
      <alignment horizontal="right"/>
    </xf>
    <xf numFmtId="0" fontId="17" fillId="4" borderId="5" xfId="0" applyFont="1" applyBorder="1" applyAlignment="1">
      <alignment horizontal="center"/>
    </xf>
    <xf numFmtId="0" fontId="17" fillId="4" borderId="6" xfId="0" applyFont="1" applyBorder="1" applyAlignment="1">
      <alignment horizontal="center"/>
    </xf>
    <xf numFmtId="0" fontId="18" fillId="4" borderId="7" xfId="0" applyFont="1" applyBorder="1" applyAlignment="1">
      <alignment horizontal="center" vertical="center"/>
    </xf>
    <xf numFmtId="0" fontId="19" fillId="4" borderId="4" xfId="0" applyFont="1"/>
    <xf numFmtId="0" fontId="19" fillId="4" borderId="7" xfId="0" applyFont="1" applyBorder="1" applyAlignment="1">
      <alignment horizontal="center" vertical="center"/>
    </xf>
    <xf numFmtId="0" fontId="19" fillId="4" borderId="7" xfId="0" applyFont="1" applyBorder="1" applyAlignment="1">
      <alignment horizontal="center" vertical="center" wrapText="1"/>
    </xf>
    <xf numFmtId="0" fontId="19" fillId="4" borderId="7" xfId="0" applyFont="1" applyBorder="1" applyAlignment="1">
      <alignment horizontal="center"/>
    </xf>
    <xf numFmtId="0" fontId="14" fillId="4" borderId="5" xfId="0" applyBorder="1" applyAlignment="1">
      <alignment horizontal="center" vertical="center"/>
    </xf>
    <xf numFmtId="0" fontId="14" fillId="4" borderId="6" xfId="0" applyBorder="1" applyAlignment="1">
      <alignment horizontal="center" vertical="center"/>
    </xf>
    <xf numFmtId="0" fontId="14" fillId="4" borderId="7" xfId="0" applyBorder="1" applyAlignment="1">
      <alignment horizontal="center" vertical="center"/>
    </xf>
    <xf numFmtId="0" fontId="21" fillId="4" borderId="7" xfId="0" applyFont="1" applyBorder="1" applyAlignment="1">
      <alignment horizontal="center" vertical="center"/>
    </xf>
    <xf numFmtId="0" fontId="14" fillId="4" borderId="4" xfId="0" applyAlignment="1">
      <alignment horizontal="center" vertical="center"/>
    </xf>
    <xf numFmtId="0" fontId="14" fillId="4" borderId="4" xfId="0" applyAlignment="1">
      <alignment wrapText="1"/>
    </xf>
    <xf numFmtId="0" fontId="23" fillId="4" borderId="4" xfId="0" applyFont="1" applyAlignment="1">
      <alignment wrapText="1"/>
    </xf>
    <xf numFmtId="0" fontId="23" fillId="4" borderId="4" xfId="0" applyFont="1"/>
    <xf numFmtId="0" fontId="24" fillId="4" borderId="4" xfId="0" applyFont="1"/>
    <xf numFmtId="1" fontId="24" fillId="6" borderId="4" xfId="0" applyNumberFormat="1" applyFont="1" applyFill="1"/>
    <xf numFmtId="0" fontId="24" fillId="6" borderId="4" xfId="0" applyFont="1" applyFill="1"/>
    <xf numFmtId="1" fontId="23" fillId="4" borderId="4" xfId="0" applyNumberFormat="1" applyFont="1"/>
    <xf numFmtId="1" fontId="23" fillId="7" borderId="4" xfId="0" applyNumberFormat="1" applyFont="1" applyFill="1"/>
    <xf numFmtId="0" fontId="25" fillId="4" borderId="4" xfId="0" applyFont="1"/>
    <xf numFmtId="0" fontId="26" fillId="8" borderId="8" xfId="0"/>
    <xf numFmtId="0" fontId="27" fillId="8" borderId="8" xfId="0" applyNumberFormat="1" applyFont="1" applyFill="1" applyBorder="1"/>
    <xf numFmtId="0" fontId="28" fillId="8" borderId="8" xfId="0" applyNumberFormat="1" applyFont="1" applyFill="1" applyBorder="1"/>
    <xf numFmtId="0" fontId="28" fillId="8" borderId="8" xfId="0" applyNumberFormat="1" applyFont="1" applyFill="1" applyBorder="1" applyAlignment="1">
      <alignment wrapText="1"/>
    </xf>
    <xf numFmtId="0" fontId="27" fillId="8" borderId="8" xfId="0" applyNumberFormat="1" applyFont="1" applyFill="1" applyBorder="1" applyAlignment="1">
      <alignment wrapText="1"/>
    </xf>
    <xf numFmtId="0" fontId="27" fillId="8" borderId="8" xfId="0" applyNumberFormat="1" applyFont="1" applyFill="1" applyBorder="1" applyAlignment="1">
      <alignment vertical="center" wrapText="1"/>
    </xf>
    <xf numFmtId="0" fontId="29" fillId="8" borderId="8" xfId="0" applyNumberFormat="1" applyFont="1" applyFill="1" applyBorder="1" applyAlignment="1">
      <alignment vertical="center" wrapText="1"/>
    </xf>
    <xf numFmtId="0" fontId="27" fillId="10" borderId="8" xfId="0" applyNumberFormat="1" applyFont="1" applyFill="1" applyBorder="1" applyAlignment="1">
      <alignment wrapText="1"/>
    </xf>
    <xf numFmtId="0" fontId="30" fillId="10" borderId="8" xfId="0" applyNumberFormat="1" applyFont="1" applyFill="1" applyBorder="1" applyAlignment="1">
      <alignment wrapText="1"/>
    </xf>
    <xf numFmtId="0" fontId="27" fillId="11" borderId="8" xfId="0" applyNumberFormat="1" applyFont="1" applyFill="1" applyBorder="1" applyAlignment="1">
      <alignment vertical="center" wrapText="1"/>
    </xf>
    <xf numFmtId="166" fontId="27" fillId="11" borderId="8" xfId="0" applyNumberFormat="1" applyFont="1" applyFill="1" applyBorder="1" applyAlignment="1">
      <alignment vertical="center" wrapText="1"/>
    </xf>
    <xf numFmtId="166" fontId="27" fillId="8" borderId="8" xfId="0" applyNumberFormat="1" applyFont="1" applyFill="1" applyBorder="1" applyAlignment="1">
      <alignment wrapText="1"/>
    </xf>
    <xf numFmtId="167" fontId="27" fillId="8" borderId="8" xfId="0" applyNumberFormat="1" applyFont="1" applyFill="1" applyBorder="1" applyAlignment="1">
      <alignment wrapText="1"/>
    </xf>
    <xf numFmtId="167" fontId="27" fillId="10" borderId="8" xfId="0" applyNumberFormat="1" applyFont="1" applyFill="1" applyBorder="1" applyAlignment="1">
      <alignment wrapText="1"/>
    </xf>
    <xf numFmtId="167" fontId="30" fillId="10" borderId="8" xfId="0" applyNumberFormat="1" applyFont="1" applyFill="1" applyBorder="1" applyAlignment="1">
      <alignment wrapText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theme" Target="theme/theme1.xml" /><ns0:Relationship Id="rId2" Type="http://schemas.openxmlformats.org/officeDocument/2006/relationships/styles" Target="styles.xml" /><ns0:Relationship Id="rId3" Type="http://schemas.openxmlformats.org/officeDocument/2006/relationships/worksheet" Target="worksheets/sheet1.xml" /><ns0:Relationship Id="rId4" Type="http://schemas.openxmlformats.org/officeDocument/2006/relationships/worksheet" Target="worksheets/sheet2.xml" /><ns0:Relationship Id="rId5" Type="http://schemas.openxmlformats.org/officeDocument/2006/relationships/worksheet" Target="worksheets/sheet3.xml" /><ns0:Relationship Id="rId6" Type="http://schemas.openxmlformats.org/officeDocument/2006/relationships/worksheet" Target="worksheets/sheet4.xml" /><ns0:Relationship Id="rId7" Type="http://schemas.openxmlformats.org/officeDocument/2006/relationships/worksheet" Target="worksheets/sheet5.xml" /><ns0:Relationship Id="rId8" Type="http://schemas.openxmlformats.org/officeDocument/2006/relationships/worksheet" Target="worksheets/sheet6.xml" /><ns0:Relationship Id="rId9" Type="http://schemas.openxmlformats.org/officeDocument/2006/relationships/worksheet" Target="worksheets/sheet7.xml" /><ns0:Relationship Id="rId10" Type="http://schemas.openxmlformats.org/officeDocument/2006/relationships/sharedStrings" Target="sharedStrings.xml" />
<ns0:Relationship Id="rIdQ12" Type="http://schemas.openxmlformats.org/officeDocument/2006/relationships/worksheet" Target="worksheets/sheet8.xml" /></ns0: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20" activeCellId="0" sqref="B20"/>
    </sheetView>
  </sheetViews>
  <sheetFormatPr defaultColWidth="11.6640625" defaultRowHeight="15.75" customHeight="false" zeroHeight="false" outlineLevelRow="0" outlineLevelCol="0"/>
  <cols>
    <col collapsed="false" customWidth="true" hidden="false" outlineLevel="0" max="1" min="1" style="1" width="31.33"/>
    <col collapsed="false" customWidth="true" hidden="false" outlineLevel="0" max="3" min="3" style="1" width="33.51"/>
  </cols>
  <sheetData>
    <row r="1" customFormat="false" ht="15.75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1</v>
      </c>
    </row>
    <row r="2" customFormat="false" ht="15.75" hidden="false" customHeight="false" outlineLevel="0" collapsed="false">
      <c r="A2" s="1" t="s">
        <v>3</v>
      </c>
      <c r="B2" s="1" t="n">
        <v>1</v>
      </c>
      <c r="D2" s="2" t="s">
        <v>4</v>
      </c>
      <c r="E2" s="1" t="n">
        <v>7</v>
      </c>
    </row>
    <row r="3" customFormat="false" ht="15.75" hidden="false" customHeight="false" outlineLevel="0" collapsed="false">
      <c r="A3" s="1" t="s">
        <v>5</v>
      </c>
      <c r="B3" s="1" t="n">
        <v>2</v>
      </c>
      <c r="D3" s="2" t="s">
        <v>6</v>
      </c>
      <c r="E3" s="1" t="n">
        <v>4</v>
      </c>
    </row>
    <row r="4" customFormat="false" ht="15.75" hidden="false" customHeight="false" outlineLevel="0" collapsed="false">
      <c r="A4" s="1" t="s">
        <v>7</v>
      </c>
      <c r="B4" s="1" t="n">
        <v>1</v>
      </c>
      <c r="D4" s="2" t="s">
        <v>8</v>
      </c>
      <c r="E4" s="1" t="n">
        <v>6</v>
      </c>
    </row>
    <row r="5" customFormat="false" ht="15.75" hidden="false" customHeight="false" outlineLevel="0" collapsed="false">
      <c r="A5" s="1" t="s">
        <v>9</v>
      </c>
      <c r="B5" s="1" t="n">
        <v>1</v>
      </c>
      <c r="D5" s="2" t="s">
        <v>10</v>
      </c>
      <c r="E5" s="1" t="n">
        <v>7</v>
      </c>
    </row>
    <row r="6" customFormat="false" ht="15.75" hidden="false" customHeight="false" outlineLevel="0" collapsed="false">
      <c r="A6" s="1" t="s">
        <v>11</v>
      </c>
      <c r="B6" s="1" t="n">
        <v>1</v>
      </c>
      <c r="D6" s="2" t="n">
        <v>0</v>
      </c>
      <c r="E6" s="1" t="n">
        <v>3</v>
      </c>
    </row>
    <row r="7" customFormat="false" ht="15.75" hidden="false" customHeight="false" outlineLevel="0" collapsed="false">
      <c r="A7" s="1" t="s">
        <v>12</v>
      </c>
      <c r="B7" s="1" t="n">
        <v>2</v>
      </c>
      <c r="D7" s="2" t="n">
        <v>1</v>
      </c>
      <c r="E7" s="1" t="n">
        <v>4</v>
      </c>
    </row>
    <row r="8" customFormat="false" ht="15.75" hidden="false" customHeight="false" outlineLevel="0" collapsed="false">
      <c r="A8" s="1" t="s">
        <v>13</v>
      </c>
      <c r="B8" s="1" t="n">
        <v>2</v>
      </c>
      <c r="D8" s="2" t="s">
        <v>14</v>
      </c>
      <c r="E8" s="1" t="n">
        <v>2</v>
      </c>
    </row>
    <row r="9" customFormat="false" ht="15.75" hidden="false" customHeight="false" outlineLevel="0" collapsed="false">
      <c r="A9" s="1" t="s">
        <v>15</v>
      </c>
      <c r="B9" s="1" t="n">
        <v>2</v>
      </c>
      <c r="D9" s="2" t="s">
        <v>16</v>
      </c>
      <c r="E9" s="1" t="n">
        <v>2</v>
      </c>
    </row>
    <row r="10" customFormat="false" ht="15.75" hidden="false" customHeight="false" outlineLevel="0" collapsed="false">
      <c r="A10" s="1" t="s">
        <v>17</v>
      </c>
      <c r="B10" s="1" t="n">
        <v>2</v>
      </c>
    </row>
    <row r="11" customFormat="false" ht="15.75" hidden="false" customHeight="false" outlineLevel="0" collapsed="false">
      <c r="A11" s="1" t="s">
        <v>18</v>
      </c>
      <c r="B11" s="1" t="n">
        <v>2</v>
      </c>
    </row>
    <row r="12" customFormat="false" ht="15.75" hidden="false" customHeight="false" outlineLevel="0" collapsed="false">
      <c r="A12" s="3" t="s">
        <v>19</v>
      </c>
      <c r="B12" s="2" t="n">
        <f aca="false">SUM(B2:B11)</f>
        <v>16</v>
      </c>
      <c r="C12" s="3" t="s">
        <v>20</v>
      </c>
      <c r="D12" s="2" t="n">
        <f aca="false">ROWS(D2:D9)</f>
        <v>8</v>
      </c>
    </row>
    <row r="13" customFormat="false" ht="15.75" hidden="false" customHeight="false" outlineLevel="0" collapsed="false">
      <c r="A13" s="4" t="s">
        <v>21</v>
      </c>
      <c r="C13" s="5" t="s">
        <v>22</v>
      </c>
    </row>
    <row r="14" customFormat="false" ht="15.75" hidden="false" customHeight="false" outlineLevel="0" collapsed="false">
      <c r="A14" s="3" t="s">
        <v>23</v>
      </c>
      <c r="B14" s="2" t="n">
        <f aca="false">ROWS(B2:B11)</f>
        <v>10</v>
      </c>
      <c r="C14" s="3" t="s">
        <v>24</v>
      </c>
      <c r="D14" s="2" t="n">
        <f aca="false">SUM(E2:E9)</f>
        <v>35</v>
      </c>
    </row>
    <row r="15" customFormat="false" ht="15.75" hidden="false" customHeight="false" outlineLevel="0" collapsed="false">
      <c r="A15" s="1" t="s">
        <v>25</v>
      </c>
      <c r="C15" s="1" t="s">
        <v>26</v>
      </c>
    </row>
    <row r="17" customFormat="false" ht="15.75" hidden="false" customHeight="false" outlineLevel="0" collapsed="false">
      <c r="A17" s="1" t="s">
        <v>27</v>
      </c>
      <c r="B17" s="1" t="s">
        <v>28</v>
      </c>
    </row>
    <row r="18" customFormat="false" ht="15.75" hidden="false" customHeight="false" outlineLevel="0" collapsed="false">
      <c r="A18" s="1" t="s">
        <v>29</v>
      </c>
      <c r="B18" s="1" t="n">
        <f aca="false">B12+D14</f>
        <v>51</v>
      </c>
    </row>
    <row r="19" customFormat="false" ht="15.75" hidden="false" customHeight="false" outlineLevel="0" collapsed="false">
      <c r="A19" s="1" t="s">
        <v>30</v>
      </c>
      <c r="B19" s="1" t="n">
        <f aca="false">B14+D12</f>
        <v>18</v>
      </c>
    </row>
    <row r="20" customFormat="false" ht="15.75" hidden="false" customHeight="false" outlineLevel="0" collapsed="false">
      <c r="A20" s="1" t="s">
        <v>31</v>
      </c>
      <c r="B20" s="1" t="n">
        <f aca="false">B18*LOG(B19,2)</f>
        <v>212.666175073558</v>
      </c>
    </row>
    <row r="21" customFormat="false" ht="15.75" hidden="false" customHeight="false" outlineLevel="0" collapsed="false">
      <c r="A21" s="1" t="s">
        <v>32</v>
      </c>
      <c r="B21" s="1" t="n">
        <f aca="false">(B14/2)*(D14/D12)</f>
        <v>21.875</v>
      </c>
    </row>
    <row r="22" customFormat="false" ht="15.75" hidden="false" customHeight="false" outlineLevel="0" collapsed="false">
      <c r="A22" s="1" t="s">
        <v>33</v>
      </c>
      <c r="B22" s="1" t="n">
        <f aca="false">B21*B20</f>
        <v>4652.07257973408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23" activeCellId="0" sqref="C23"/>
    </sheetView>
  </sheetViews>
  <sheetFormatPr defaultColWidth="10.5078125" defaultRowHeight="15.75" customHeight="false" zeroHeight="false" outlineLevelRow="0" outlineLevelCol="0"/>
  <sheetData>
    <row r="1" customFormat="false" ht="15.75" hidden="false" customHeight="false" outlineLevel="0" collapsed="false">
      <c r="A1" s="1" t="s">
        <v>34</v>
      </c>
      <c r="B1" s="1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4" activeCellId="0" sqref="B4"/>
    </sheetView>
  </sheetViews>
  <sheetFormatPr defaultColWidth="11.6640625" defaultRowHeight="15.75" customHeight="false" zeroHeight="false" outlineLevelRow="0" outlineLevelCol="0"/>
  <cols>
    <col collapsed="false" customWidth="true" hidden="false" outlineLevel="0" max="1" min="1" style="1" width="23.83"/>
    <col collapsed="false" customWidth="true" hidden="false" outlineLevel="0" max="2" min="2" style="1" width="13"/>
  </cols>
  <sheetData>
    <row r="1" customFormat="false" ht="18.55" hidden="false" customHeight="false" outlineLevel="0" collapsed="false">
      <c r="A1" s="6" t="s">
        <v>35</v>
      </c>
      <c r="B1" s="7" t="s">
        <v>36</v>
      </c>
    </row>
    <row r="2" customFormat="false" ht="27" hidden="false" customHeight="true" outlineLevel="0" collapsed="false">
      <c r="A2" s="8" t="s">
        <v>37</v>
      </c>
      <c r="B2" s="9" t="n">
        <v>12</v>
      </c>
      <c r="C2" s="9"/>
      <c r="D2" s="9"/>
      <c r="E2" s="9"/>
      <c r="F2" s="9"/>
      <c r="G2" s="9"/>
    </row>
    <row r="3" customFormat="false" ht="31.5" hidden="false" customHeight="true" outlineLevel="0" collapsed="false">
      <c r="A3" s="10" t="s">
        <v>38</v>
      </c>
      <c r="B3" s="9" t="n">
        <v>14</v>
      </c>
      <c r="C3" s="9"/>
      <c r="D3" s="9"/>
      <c r="E3" s="9"/>
      <c r="F3" s="9"/>
      <c r="G3" s="9"/>
    </row>
    <row r="4" customFormat="false" ht="34.5" hidden="false" customHeight="true" outlineLevel="0" collapsed="false">
      <c r="A4" s="11" t="s">
        <v>39</v>
      </c>
      <c r="B4" s="9" t="n">
        <f aca="false">B3 - B2 + 2</f>
        <v>4</v>
      </c>
      <c r="C4" s="9"/>
      <c r="D4" s="9"/>
      <c r="E4" s="9"/>
      <c r="F4" s="9"/>
      <c r="G4" s="9"/>
    </row>
    <row r="5" customFormat="false" ht="15.75" hidden="false" customHeight="false" outlineLevel="0" collapsed="false">
      <c r="A5" s="12"/>
      <c r="B5" s="9"/>
      <c r="C5" s="9"/>
      <c r="D5" s="9"/>
      <c r="E5" s="9"/>
      <c r="F5" s="9"/>
      <c r="G5" s="9"/>
    </row>
    <row r="6" customFormat="false" ht="15.75" hidden="false" customHeight="false" outlineLevel="0" collapsed="false">
      <c r="A6" s="12"/>
      <c r="B6" s="9"/>
      <c r="C6" s="9"/>
      <c r="D6" s="9"/>
      <c r="E6" s="9"/>
      <c r="F6" s="9"/>
      <c r="G6" s="9"/>
    </row>
    <row r="7" customFormat="false" ht="15.75" hidden="false" customHeight="false" outlineLevel="0" collapsed="false">
      <c r="A7" s="12"/>
      <c r="B7" s="9"/>
      <c r="C7" s="9"/>
      <c r="D7" s="9"/>
      <c r="E7" s="9"/>
      <c r="F7" s="9"/>
      <c r="G7" s="9"/>
    </row>
    <row r="8" customFormat="false" ht="15.75" hidden="false" customHeight="false" outlineLevel="0" collapsed="false">
      <c r="A8" s="12"/>
      <c r="B8" s="9"/>
      <c r="C8" s="9"/>
      <c r="D8" s="9"/>
      <c r="E8" s="9"/>
      <c r="F8" s="9"/>
      <c r="G8" s="9"/>
    </row>
    <row r="9" customFormat="false" ht="15.75" hidden="false" customHeight="false" outlineLevel="0" collapsed="false">
      <c r="A9" s="12"/>
      <c r="B9" s="9"/>
      <c r="C9" s="9"/>
      <c r="D9" s="9"/>
      <c r="E9" s="9"/>
      <c r="F9" s="9"/>
      <c r="G9" s="9"/>
    </row>
    <row r="10" customFormat="false" ht="15.75" hidden="false" customHeight="false" outlineLevel="0" collapsed="false">
      <c r="A10" s="12"/>
      <c r="B10" s="9"/>
      <c r="C10" s="9"/>
      <c r="D10" s="9"/>
      <c r="E10" s="9"/>
      <c r="F10" s="9"/>
      <c r="G10" s="9"/>
    </row>
    <row r="11" customFormat="false" ht="15.75" hidden="false" customHeight="false" outlineLevel="0" collapsed="false">
      <c r="A11" s="12"/>
      <c r="B11" s="9"/>
      <c r="C11" s="9"/>
      <c r="D11" s="9"/>
      <c r="E11" s="9"/>
      <c r="F11" s="9"/>
      <c r="G11" s="9"/>
    </row>
    <row r="12" customFormat="false" ht="15.75" hidden="false" customHeight="false" outlineLevel="0" collapsed="false">
      <c r="A12" s="12"/>
      <c r="B12" s="9"/>
      <c r="C12" s="9"/>
      <c r="D12" s="9"/>
      <c r="E12" s="9"/>
      <c r="F12" s="9"/>
      <c r="G12" s="9"/>
    </row>
    <row r="13" customFormat="false" ht="15.75" hidden="false" customHeight="false" outlineLevel="0" collapsed="false">
      <c r="A13" s="12"/>
      <c r="B13" s="9"/>
      <c r="C13" s="9"/>
      <c r="D13" s="9"/>
      <c r="E13" s="9"/>
      <c r="F13" s="9"/>
      <c r="G13" s="9"/>
    </row>
    <row r="14" customFormat="false" ht="15.75" hidden="false" customHeight="false" outlineLevel="0" collapsed="false">
      <c r="A14" s="12"/>
      <c r="B14" s="9"/>
      <c r="C14" s="9"/>
      <c r="D14" s="9"/>
      <c r="E14" s="9"/>
      <c r="F14" s="9"/>
      <c r="G14" s="9"/>
    </row>
    <row r="15" customFormat="false" ht="15.75" hidden="false" customHeight="false" outlineLevel="0" collapsed="false">
      <c r="A15" s="12"/>
      <c r="B15" s="9"/>
      <c r="C15" s="9"/>
      <c r="D15" s="9"/>
      <c r="E15" s="9"/>
      <c r="F15" s="9"/>
      <c r="G15" s="9"/>
    </row>
    <row r="16" customFormat="false" ht="15.75" hidden="false" customHeight="false" outlineLevel="0" collapsed="false">
      <c r="A16" s="12"/>
      <c r="B16" s="9"/>
      <c r="C16" s="9"/>
      <c r="D16" s="9"/>
      <c r="E16" s="9"/>
      <c r="F16" s="9"/>
      <c r="G16" s="9"/>
    </row>
    <row r="17" customFormat="false" ht="15.75" hidden="false" customHeight="false" outlineLevel="0" collapsed="false">
      <c r="A17" s="12"/>
      <c r="B17" s="9"/>
      <c r="C17" s="9"/>
      <c r="D17" s="9"/>
      <c r="E17" s="9"/>
      <c r="F17" s="9"/>
      <c r="G17" s="9"/>
    </row>
    <row r="18" customFormat="false" ht="15.75" hidden="false" customHeight="false" outlineLevel="0" collapsed="false">
      <c r="A18" s="12"/>
      <c r="B18" s="9"/>
      <c r="C18" s="9"/>
      <c r="D18" s="9"/>
      <c r="E18" s="9"/>
      <c r="F18" s="9"/>
      <c r="G18" s="9"/>
    </row>
    <row r="19" customFormat="false" ht="15.75" hidden="false" customHeight="false" outlineLevel="0" collapsed="false">
      <c r="A19" s="12"/>
      <c r="B19" s="9"/>
      <c r="C19" s="9"/>
      <c r="D19" s="9"/>
      <c r="E19" s="9"/>
      <c r="F19" s="9"/>
      <c r="G19" s="9"/>
    </row>
    <row r="20" customFormat="false" ht="15.75" hidden="false" customHeight="false" outlineLevel="0" collapsed="false">
      <c r="A20" s="12"/>
      <c r="B20" s="9"/>
      <c r="C20" s="9"/>
      <c r="D20" s="9"/>
      <c r="E20" s="9"/>
      <c r="F20" s="9"/>
      <c r="G20" s="9"/>
    </row>
    <row r="21" customFormat="false" ht="15.75" hidden="false" customHeight="false" outlineLevel="0" collapsed="false">
      <c r="A21" s="12"/>
      <c r="B21" s="9"/>
      <c r="C21" s="9"/>
      <c r="D21" s="9"/>
      <c r="E21" s="9"/>
      <c r="F21" s="9"/>
      <c r="G21" s="9"/>
    </row>
    <row r="22" customFormat="false" ht="15.75" hidden="false" customHeight="false" outlineLevel="0" collapsed="false">
      <c r="A22" s="9"/>
      <c r="B22" s="9"/>
      <c r="C22" s="9"/>
      <c r="D22" s="9"/>
      <c r="E22" s="9"/>
      <c r="F22" s="9"/>
      <c r="G22" s="9"/>
    </row>
    <row r="23" customFormat="false" ht="15.75" hidden="false" customHeight="false" outlineLevel="0" collapsed="false">
      <c r="A23" s="9"/>
      <c r="B23" s="9"/>
      <c r="C23" s="9"/>
      <c r="D23" s="9"/>
      <c r="E23" s="9"/>
      <c r="F23" s="9"/>
      <c r="G23" s="9"/>
    </row>
    <row r="24" customFormat="false" ht="15.75" hidden="false" customHeight="false" outlineLevel="0" collapsed="false">
      <c r="A24" s="9"/>
      <c r="B24" s="9"/>
      <c r="C24" s="9"/>
      <c r="D24" s="9"/>
      <c r="E24" s="9"/>
      <c r="F24" s="9"/>
      <c r="G24" s="9"/>
    </row>
    <row r="25" customFormat="false" ht="15.75" hidden="false" customHeight="false" outlineLevel="0" collapsed="false">
      <c r="A25" s="9"/>
      <c r="B25" s="9"/>
      <c r="C25" s="9"/>
      <c r="D25" s="9"/>
      <c r="E25" s="9"/>
      <c r="F25" s="9"/>
      <c r="G25" s="9"/>
    </row>
    <row r="26" customFormat="false" ht="15.75" hidden="false" customHeight="false" outlineLevel="0" collapsed="false">
      <c r="A26" s="9"/>
      <c r="B26" s="9"/>
      <c r="C26" s="9"/>
      <c r="D26" s="9"/>
      <c r="E26" s="9"/>
      <c r="F26" s="9"/>
      <c r="G26" s="9"/>
    </row>
    <row r="27" customFormat="false" ht="15.75" hidden="false" customHeight="false" outlineLevel="0" collapsed="false">
      <c r="A27" s="9"/>
      <c r="B27" s="9"/>
      <c r="C27" s="9"/>
      <c r="D27" s="9"/>
      <c r="E27" s="9"/>
      <c r="F27" s="9"/>
      <c r="G27" s="9"/>
    </row>
    <row r="28" customFormat="false" ht="15.75" hidden="false" customHeight="false" outlineLevel="0" collapsed="false">
      <c r="A28" s="9"/>
      <c r="B28" s="9"/>
      <c r="C28" s="9"/>
      <c r="D28" s="9"/>
      <c r="E28" s="9"/>
      <c r="F28" s="9"/>
      <c r="G28" s="9"/>
    </row>
    <row r="29" customFormat="false" ht="15.75" hidden="false" customHeight="false" outlineLevel="0" collapsed="false">
      <c r="A29" s="9"/>
      <c r="B29" s="9"/>
      <c r="C29" s="9"/>
      <c r="D29" s="9"/>
      <c r="E29" s="9"/>
      <c r="F29" s="9"/>
      <c r="G29" s="9"/>
    </row>
    <row r="30" customFormat="false" ht="15.75" hidden="false" customHeight="false" outlineLevel="0" collapsed="false">
      <c r="A30" s="9"/>
      <c r="B30" s="9"/>
      <c r="C30" s="9"/>
      <c r="D30" s="9"/>
      <c r="E30" s="9"/>
      <c r="F30" s="9"/>
      <c r="G30" s="9"/>
    </row>
    <row r="31" customFormat="false" ht="15.75" hidden="false" customHeight="false" outlineLevel="0" collapsed="false">
      <c r="A31" s="9"/>
      <c r="B31" s="9"/>
      <c r="C31" s="9"/>
      <c r="D31" s="9"/>
      <c r="E31" s="9"/>
      <c r="F31" s="9"/>
      <c r="G31" s="9"/>
    </row>
    <row r="32" customFormat="false" ht="15.75" hidden="false" customHeight="false" outlineLevel="0" collapsed="false">
      <c r="A32" s="9"/>
      <c r="B32" s="9"/>
      <c r="C32" s="9"/>
      <c r="D32" s="9"/>
      <c r="E32" s="9"/>
      <c r="F32" s="9"/>
      <c r="G32" s="9"/>
    </row>
    <row r="33" customFormat="false" ht="15.75" hidden="false" customHeight="false" outlineLevel="0" collapsed="false">
      <c r="A33" s="9"/>
      <c r="B33" s="9"/>
      <c r="C33" s="9"/>
      <c r="D33" s="9"/>
      <c r="E33" s="9"/>
      <c r="F33" s="9"/>
      <c r="G33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23" activeCellId="0" sqref="E23"/>
    </sheetView>
  </sheetViews>
  <sheetFormatPr defaultColWidth="11.6640625" defaultRowHeight="15.75" customHeight="false" zeroHeight="false" outlineLevelRow="0" outlineLevelCol="0"/>
  <cols>
    <col collapsed="false" customWidth="true" hidden="false" outlineLevel="0" max="1" min="1" style="1" width="17.67"/>
  </cols>
  <sheetData>
    <row r="1" customFormat="false" ht="35.25" hidden="false" customHeight="true" outlineLevel="0" collapsed="false">
      <c r="A1" s="13" t="s">
        <v>40</v>
      </c>
      <c r="B1" s="13"/>
    </row>
    <row r="2" customFormat="false" ht="20.25" hidden="false" customHeight="true" outlineLevel="0" collapsed="false">
      <c r="A2" s="14" t="s">
        <v>41</v>
      </c>
      <c r="B2" s="15" t="s">
        <v>42</v>
      </c>
      <c r="C2" s="15" t="s">
        <v>43</v>
      </c>
      <c r="D2" s="15" t="s">
        <v>44</v>
      </c>
    </row>
    <row r="3" customFormat="false" ht="18.75" hidden="false" customHeight="true" outlineLevel="0" collapsed="false">
      <c r="A3" s="16" t="s">
        <v>45</v>
      </c>
      <c r="B3" s="1" t="n">
        <v>3</v>
      </c>
      <c r="C3" s="1" t="n">
        <v>4</v>
      </c>
      <c r="D3" s="1" t="n">
        <v>6</v>
      </c>
    </row>
    <row r="4" customFormat="false" ht="19.5" hidden="false" customHeight="true" outlineLevel="0" collapsed="false">
      <c r="A4" s="16" t="s">
        <v>46</v>
      </c>
      <c r="B4" s="1" t="n">
        <v>4</v>
      </c>
      <c r="C4" s="1" t="n">
        <v>5</v>
      </c>
      <c r="D4" s="1" t="n">
        <v>7</v>
      </c>
    </row>
    <row r="5" customFormat="false" ht="19.5" hidden="false" customHeight="true" outlineLevel="0" collapsed="false">
      <c r="A5" s="16" t="s">
        <v>47</v>
      </c>
      <c r="B5" s="1" t="n">
        <v>3</v>
      </c>
      <c r="C5" s="1" t="n">
        <v>4</v>
      </c>
      <c r="D5" s="1" t="n">
        <v>6</v>
      </c>
    </row>
    <row r="6" customFormat="false" ht="21.75" hidden="false" customHeight="true" outlineLevel="0" collapsed="false">
      <c r="A6" s="16" t="s">
        <v>48</v>
      </c>
      <c r="B6" s="1" t="n">
        <v>7</v>
      </c>
      <c r="C6" s="1" t="n">
        <v>10</v>
      </c>
      <c r="D6" s="1" t="n">
        <v>15</v>
      </c>
    </row>
    <row r="7" customFormat="false" ht="21.75" hidden="false" customHeight="true" outlineLevel="0" collapsed="false">
      <c r="A7" s="16" t="s">
        <v>49</v>
      </c>
      <c r="B7" s="1" t="n">
        <v>5</v>
      </c>
      <c r="C7" s="1" t="n">
        <v>7</v>
      </c>
      <c r="D7" s="1" t="n">
        <v>10</v>
      </c>
    </row>
    <row r="10" customFormat="false" ht="32.25" hidden="false" customHeight="true" outlineLevel="0" collapsed="false">
      <c r="A10" s="13" t="s">
        <v>50</v>
      </c>
      <c r="B10" s="13"/>
    </row>
    <row r="11" customFormat="false" ht="15.75" hidden="false" customHeight="false" outlineLevel="0" collapsed="false">
      <c r="A11" s="14" t="s">
        <v>41</v>
      </c>
      <c r="B11" s="15" t="s">
        <v>42</v>
      </c>
      <c r="C11" s="15" t="s">
        <v>43</v>
      </c>
      <c r="D11" s="15" t="s">
        <v>44</v>
      </c>
    </row>
    <row r="12" customFormat="false" ht="18" hidden="false" customHeight="true" outlineLevel="0" collapsed="false">
      <c r="A12" s="16" t="s">
        <v>45</v>
      </c>
      <c r="B12" s="1" t="n">
        <v>4</v>
      </c>
      <c r="C12" s="1" t="n">
        <v>3</v>
      </c>
      <c r="D12" s="1" t="n">
        <v>1</v>
      </c>
    </row>
    <row r="13" customFormat="false" ht="18" hidden="false" customHeight="true" outlineLevel="0" collapsed="false">
      <c r="A13" s="16" t="s">
        <v>46</v>
      </c>
      <c r="B13" s="1" t="n">
        <v>0</v>
      </c>
      <c r="C13" s="1" t="n">
        <v>2</v>
      </c>
      <c r="D13" s="1" t="n">
        <v>1</v>
      </c>
    </row>
    <row r="14" customFormat="false" ht="18.75" hidden="false" customHeight="true" outlineLevel="0" collapsed="false">
      <c r="A14" s="16" t="s">
        <v>47</v>
      </c>
      <c r="B14" s="1" t="n">
        <v>7</v>
      </c>
      <c r="C14" s="1" t="n">
        <v>0</v>
      </c>
      <c r="D14" s="1" t="n">
        <v>0</v>
      </c>
    </row>
    <row r="15" customFormat="false" ht="18.75" hidden="false" customHeight="true" outlineLevel="0" collapsed="false">
      <c r="A15" s="16" t="s">
        <v>48</v>
      </c>
      <c r="B15" s="1" t="n">
        <v>3</v>
      </c>
      <c r="C15" s="1" t="n">
        <v>0</v>
      </c>
      <c r="D15" s="1" t="n">
        <v>0</v>
      </c>
    </row>
    <row r="16" customFormat="false" ht="18" hidden="false" customHeight="true" outlineLevel="0" collapsed="false">
      <c r="A16" s="16" t="s">
        <v>49</v>
      </c>
      <c r="B16" s="1" t="n">
        <v>0</v>
      </c>
      <c r="C16" s="1" t="n">
        <v>5</v>
      </c>
      <c r="D16" s="1" t="n">
        <v>2</v>
      </c>
    </row>
    <row r="17" customFormat="false" ht="8.25" hidden="false" customHeight="true" outlineLevel="0" collapsed="false">
      <c r="A17" s="17"/>
      <c r="B17" s="17"/>
      <c r="C17" s="17"/>
      <c r="D17" s="17"/>
    </row>
    <row r="18" customFormat="false" ht="7.5" hidden="false" customHeight="true" outlineLevel="0" collapsed="false"/>
    <row r="19" customFormat="false" ht="7.5" hidden="false" customHeight="true" outlineLevel="0" collapsed="false"/>
    <row r="20" customFormat="false" ht="33" hidden="false" customHeight="true" outlineLevel="0" collapsed="false">
      <c r="A20" s="18" t="s">
        <v>51</v>
      </c>
      <c r="B20" s="5" t="n">
        <f aca="false">SUMPRODUCT(B3:D7,B12:D16)</f>
        <v>144</v>
      </c>
    </row>
    <row r="21" customFormat="false" ht="27" hidden="false" customHeight="true" outlineLevel="0" collapsed="false"/>
  </sheetData>
  <mergeCells count="2">
    <mergeCell ref="A1:B1"/>
    <mergeCell ref="A10:B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8359375" defaultRowHeight="15.7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4"/>
  </cols>
  <sheetData>
    <row r="1" customFormat="false" ht="24" hidden="false" customHeight="true" outlineLevel="0" collapsed="false">
      <c r="A1" s="19" t="s">
        <v>52</v>
      </c>
      <c r="B1" s="20"/>
      <c r="C1" s="20"/>
      <c r="D1" s="20"/>
      <c r="E1" s="20"/>
      <c r="F1" s="20"/>
      <c r="G1" s="20"/>
      <c r="H1" s="20"/>
    </row>
    <row r="2" customFormat="false" ht="24" hidden="false" customHeight="true" outlineLevel="0" collapsed="false">
      <c r="A2" s="20"/>
      <c r="B2" s="20"/>
      <c r="C2" s="20"/>
      <c r="D2" s="20"/>
      <c r="E2" s="20"/>
      <c r="F2" s="20"/>
      <c r="G2" s="20"/>
      <c r="H2" s="20"/>
    </row>
    <row r="3" customFormat="false" ht="24" hidden="false" customHeight="true" outlineLevel="0" collapsed="false">
      <c r="A3" s="21" t="s">
        <v>41</v>
      </c>
      <c r="B3" s="21" t="s">
        <v>53</v>
      </c>
      <c r="C3" s="21"/>
      <c r="D3" s="21"/>
      <c r="E3" s="21" t="s">
        <v>54</v>
      </c>
      <c r="F3" s="21"/>
      <c r="G3" s="21"/>
      <c r="H3" s="21" t="s">
        <v>55</v>
      </c>
    </row>
    <row r="4" customFormat="false" ht="24" hidden="false" customHeight="true" outlineLevel="0" collapsed="false">
      <c r="A4" s="21"/>
      <c r="B4" s="21" t="s">
        <v>42</v>
      </c>
      <c r="C4" s="21" t="s">
        <v>43</v>
      </c>
      <c r="D4" s="21" t="s">
        <v>44</v>
      </c>
      <c r="E4" s="21" t="s">
        <v>42</v>
      </c>
      <c r="F4" s="21" t="s">
        <v>43</v>
      </c>
      <c r="G4" s="21" t="s">
        <v>44</v>
      </c>
      <c r="H4" s="21"/>
    </row>
    <row r="5" customFormat="false" ht="24" hidden="false" customHeight="true" outlineLevel="0" collapsed="false">
      <c r="A5" s="20" t="s">
        <v>45</v>
      </c>
      <c r="B5" s="22" t="n">
        <v>3</v>
      </c>
      <c r="C5" s="22" t="n">
        <v>4</v>
      </c>
      <c r="D5" s="22" t="n">
        <v>6</v>
      </c>
      <c r="E5" s="23" t="n">
        <v>1</v>
      </c>
      <c r="F5" s="23" t="n">
        <v>0</v>
      </c>
      <c r="G5" s="23" t="n">
        <v>0</v>
      </c>
      <c r="H5" s="22" t="n">
        <f aca="false">B5*E5+C5*F5+D5*G5</f>
        <v>3</v>
      </c>
    </row>
    <row r="6" customFormat="false" ht="24" hidden="false" customHeight="true" outlineLevel="0" collapsed="false">
      <c r="A6" s="20" t="s">
        <v>46</v>
      </c>
      <c r="B6" s="22" t="n">
        <v>4</v>
      </c>
      <c r="C6" s="22" t="n">
        <v>5</v>
      </c>
      <c r="D6" s="22" t="n">
        <v>7</v>
      </c>
      <c r="E6" s="23" t="n">
        <v>1</v>
      </c>
      <c r="F6" s="23" t="n">
        <v>0</v>
      </c>
      <c r="G6" s="23" t="n">
        <v>0</v>
      </c>
      <c r="H6" s="22" t="n">
        <f aca="false">B6*E6+C6*F6+D6*G6</f>
        <v>4</v>
      </c>
    </row>
    <row r="7" customFormat="false" ht="24" hidden="false" customHeight="true" outlineLevel="0" collapsed="false">
      <c r="A7" s="20" t="s">
        <v>56</v>
      </c>
      <c r="B7" s="22" t="n">
        <v>3</v>
      </c>
      <c r="C7" s="22" t="n">
        <v>4</v>
      </c>
      <c r="D7" s="22" t="n">
        <v>6</v>
      </c>
      <c r="E7" s="23" t="n">
        <v>0</v>
      </c>
      <c r="F7" s="23" t="n">
        <v>0</v>
      </c>
      <c r="G7" s="23" t="n">
        <v>0</v>
      </c>
      <c r="H7" s="22" t="n">
        <f aca="false">B7*E7+C7*F7+D7*G7</f>
        <v>0</v>
      </c>
    </row>
    <row r="8" customFormat="false" ht="24" hidden="false" customHeight="true" outlineLevel="0" collapsed="false">
      <c r="A8" s="20" t="s">
        <v>48</v>
      </c>
      <c r="B8" s="22" t="n">
        <v>7</v>
      </c>
      <c r="C8" s="22" t="n">
        <v>10</v>
      </c>
      <c r="D8" s="22" t="n">
        <v>15</v>
      </c>
      <c r="E8" s="23" t="n">
        <v>0</v>
      </c>
      <c r="F8" s="23" t="n">
        <v>0</v>
      </c>
      <c r="G8" s="23" t="n">
        <v>0</v>
      </c>
      <c r="H8" s="22" t="n">
        <f aca="false">B8*E8+C8*F8+D8*G8</f>
        <v>0</v>
      </c>
    </row>
    <row r="9" customFormat="false" ht="24" hidden="false" customHeight="true" outlineLevel="0" collapsed="false">
      <c r="A9" s="20" t="s">
        <v>49</v>
      </c>
      <c r="B9" s="22" t="n">
        <v>5</v>
      </c>
      <c r="C9" s="22" t="n">
        <v>7</v>
      </c>
      <c r="D9" s="22" t="n">
        <v>10</v>
      </c>
      <c r="E9" s="23" t="n">
        <v>0</v>
      </c>
      <c r="F9" s="23" t="n">
        <v>0</v>
      </c>
      <c r="G9" s="23" t="n">
        <v>0</v>
      </c>
      <c r="H9" s="22" t="n">
        <f aca="false">B9*E9+C9*F9+D9*G9</f>
        <v>0</v>
      </c>
    </row>
    <row r="10" customFormat="false" ht="24" hidden="false" customHeight="true" outlineLevel="0" collapsed="false">
      <c r="A10" s="21" t="s">
        <v>57</v>
      </c>
      <c r="B10" s="24"/>
      <c r="C10" s="24"/>
      <c r="D10" s="24"/>
      <c r="E10" s="24"/>
      <c r="F10" s="24"/>
      <c r="G10" s="24"/>
      <c r="H10" s="24" t="n">
        <f aca="false">SUM(H5:H9)</f>
        <v>7</v>
      </c>
    </row>
    <row r="11" customFormat="false" ht="24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</row>
    <row r="12" customFormat="false" ht="24" hidden="false" customHeight="true" outlineLevel="0" collapsed="false">
      <c r="A12" s="25" t="s">
        <v>58</v>
      </c>
      <c r="B12" s="20"/>
      <c r="C12" s="20"/>
      <c r="D12" s="20"/>
      <c r="E12" s="20"/>
      <c r="F12" s="20"/>
      <c r="G12" s="20"/>
      <c r="H12" s="20"/>
    </row>
    <row r="13" customFormat="false" ht="33.75" hidden="false" customHeight="true" outlineLevel="0" collapsed="false">
      <c r="A13" s="26" t="s">
        <v>59</v>
      </c>
      <c r="B13" s="26"/>
      <c r="C13" s="26"/>
      <c r="D13" s="26"/>
      <c r="E13" s="26"/>
      <c r="F13" s="26"/>
      <c r="G13" s="26"/>
      <c r="H13" s="26"/>
    </row>
    <row r="14" customFormat="false" ht="33.75" hidden="false" customHeight="true" outlineLevel="0" collapsed="false">
      <c r="A14" s="26" t="s">
        <v>60</v>
      </c>
      <c r="B14" s="26"/>
      <c r="C14" s="26"/>
      <c r="D14" s="26"/>
      <c r="E14" s="26"/>
      <c r="F14" s="26"/>
      <c r="G14" s="26"/>
      <c r="H14" s="26"/>
    </row>
    <row r="15" customFormat="false" ht="33.75" hidden="false" customHeight="true" outlineLevel="0" collapsed="false">
      <c r="A15" s="26" t="s">
        <v>61</v>
      </c>
      <c r="B15" s="26"/>
      <c r="C15" s="26"/>
      <c r="D15" s="26"/>
      <c r="E15" s="26"/>
      <c r="F15" s="26"/>
      <c r="G15" s="26"/>
      <c r="H15" s="26"/>
    </row>
    <row r="16" customFormat="false" ht="33.75" hidden="false" customHeight="true" outlineLevel="0" collapsed="false">
      <c r="A16" s="26" t="s">
        <v>62</v>
      </c>
      <c r="B16" s="26"/>
      <c r="C16" s="26"/>
      <c r="D16" s="26"/>
      <c r="E16" s="26"/>
      <c r="F16" s="26"/>
      <c r="G16" s="26"/>
      <c r="H16" s="26"/>
    </row>
    <row r="17" customFormat="false" ht="33.75" hidden="false" customHeight="true" outlineLevel="0" collapsed="false">
      <c r="A17" s="26" t="s">
        <v>63</v>
      </c>
      <c r="B17" s="26"/>
      <c r="C17" s="26"/>
      <c r="D17" s="26"/>
      <c r="E17" s="26"/>
      <c r="F17" s="26"/>
      <c r="G17" s="26"/>
      <c r="H17" s="26"/>
    </row>
    <row r="18" customFormat="false" ht="33.75" hidden="false" customHeight="true" outlineLevel="0" collapsed="false">
      <c r="A18" s="26" t="s">
        <v>64</v>
      </c>
      <c r="B18" s="26"/>
      <c r="C18" s="26"/>
      <c r="D18" s="26"/>
      <c r="E18" s="26"/>
      <c r="F18" s="26"/>
      <c r="G18" s="26"/>
      <c r="H18" s="26"/>
    </row>
    <row r="19" customFormat="false" ht="33.75" hidden="false" customHeight="true" outlineLevel="0" collapsed="false">
      <c r="A19" s="26" t="s">
        <v>65</v>
      </c>
      <c r="B19" s="26"/>
      <c r="C19" s="26"/>
      <c r="D19" s="26"/>
      <c r="E19" s="26"/>
      <c r="F19" s="26"/>
      <c r="G19" s="26"/>
      <c r="H19" s="26"/>
    </row>
    <row r="20" customFormat="false" ht="33.75" hidden="false" customHeight="true" outlineLevel="0" collapsed="false">
      <c r="A20" s="26" t="s">
        <v>66</v>
      </c>
      <c r="B20" s="26"/>
      <c r="C20" s="26"/>
      <c r="D20" s="26"/>
      <c r="E20" s="26"/>
      <c r="F20" s="26"/>
      <c r="G20" s="26"/>
      <c r="H20" s="26"/>
    </row>
    <row r="21" customFormat="false" ht="33.75" hidden="false" customHeight="true" outlineLevel="0" collapsed="false">
      <c r="A21" s="26" t="s">
        <v>67</v>
      </c>
      <c r="B21" s="26"/>
      <c r="C21" s="26"/>
      <c r="D21" s="26"/>
      <c r="E21" s="26"/>
      <c r="F21" s="26"/>
      <c r="G21" s="26"/>
      <c r="H21" s="26"/>
    </row>
  </sheetData>
  <mergeCells count="9"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9.34375" defaultRowHeight="12.8" customHeight="false" zeroHeight="false" outlineLevelRow="0" outlineLevelCol="0"/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68</v>
      </c>
      <c r="B2" s="1" t="n">
        <f aca="false">Halstead!B20</f>
        <v>212.666175073558</v>
      </c>
    </row>
    <row r="3" customFormat="false" ht="15" hidden="false" customHeight="false" outlineLevel="0" collapsed="false">
      <c r="A3" s="1" t="s">
        <v>69</v>
      </c>
      <c r="B3" s="1" t="n">
        <v>12</v>
      </c>
    </row>
    <row r="4" customFormat="false" ht="15" hidden="false" customHeight="false" outlineLevel="0" collapsed="false">
      <c r="A4" s="1" t="s">
        <v>70</v>
      </c>
      <c r="B4" s="1" t="n">
        <f aca="false">CC!B4</f>
        <v>4</v>
      </c>
    </row>
    <row r="5" customFormat="false" ht="15" hidden="false" customHeight="false" outlineLevel="0" collapsed="false">
      <c r="A5" s="1" t="s">
        <v>71</v>
      </c>
      <c r="B5" s="1" t="n">
        <v>0</v>
      </c>
    </row>
    <row r="6" customFormat="false" ht="15" hidden="false" customHeight="false" outlineLevel="0" collapsed="false"/>
    <row r="7" customFormat="false" ht="15" hidden="false" customHeight="false" outlineLevel="0" collapsed="false">
      <c r="A7" s="1" t="s">
        <v>72</v>
      </c>
      <c r="B7" s="1" t="n">
        <f aca="false">171 - 5.2*LN(B2) - 0.23*B4 - 16.2*LN(B3) + 50*SIN(SQRT(2.46 * B5))</f>
        <v>101.953949121275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9.3437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10.37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7" t="s">
        <v>68</v>
      </c>
      <c r="B2" s="1" t="n">
        <f aca="false">Halstead!B20</f>
        <v>212.666175073558</v>
      </c>
    </row>
    <row r="3" customFormat="false" ht="18.7" hidden="false" customHeight="true" outlineLevel="0" collapsed="false">
      <c r="A3" s="17" t="s">
        <v>73</v>
      </c>
      <c r="B3" s="1" t="n">
        <v>12</v>
      </c>
    </row>
    <row r="4" customFormat="false" ht="15" hidden="false" customHeight="false" outlineLevel="0" collapsed="false">
      <c r="A4" s="17" t="s">
        <v>70</v>
      </c>
      <c r="B4" s="1" t="n">
        <f aca="false">CC!B4</f>
        <v>4</v>
      </c>
    </row>
    <row r="5" customFormat="false" ht="15" hidden="false" customHeight="false" outlineLevel="0" collapsed="false">
      <c r="A5" s="17" t="s">
        <v>71</v>
      </c>
      <c r="B5" s="1" t="n">
        <f aca="false"> (10/12)*100</f>
        <v>83.3333333333333</v>
      </c>
    </row>
    <row r="6" customFormat="false" ht="15" hidden="false" customHeight="false" outlineLevel="0" collapsed="false">
      <c r="A6" s="27"/>
      <c r="B6" s="1"/>
    </row>
    <row r="7" customFormat="false" ht="15" hidden="false" customHeight="false" outlineLevel="0" collapsed="false">
      <c r="A7" s="17" t="s">
        <v>72</v>
      </c>
      <c r="B7" s="1" t="n">
        <f aca="false">171 - 5.2*LN(B2) - 0.23*B4 - 16.2*LN(B3) + 50*SIN(SQRT(2.46 * B5))</f>
        <v>151.140267876801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8.xml><?xml version="1.0" encoding="utf-8"?>
<worksheet xmlns="http://schemas.openxmlformats.org/spreadsheetml/2006/main">
  <sheetViews>
    <sheetView showGridLines="0" workbookViewId="0">
      <pane ySplit="7" topLeftCell="A8" activePane="bottomLeft" state="frozen"/>
    </sheetView>
  </sheetViews>
  <sheetFormatPr defaultRowHeight="15"/>
  <cols>
    <col min="1" max="1" width="5" hidden="0" customWidth="1"/>
    <col min="2" max="2" width="39" hidden="0" customWidth="1"/>
    <col min="3" max="3" width="12" hidden="0" customWidth="1"/>
    <col min="4" max="4" width="72" hidden="0" customWidth="1"/>
    <col min="5" max="5" width="47" hidden="0" customWidth="1"/>
  </cols>
  <sheetData>
    <row r="1" ht="30" customHeight="1">
      <c r="A1" s="57" t="str">
        <v>Q12 - Facteur de complexité technique de Qalculate!</v>
      </c>
      <c r="B1" s="58"/>
      <c r="C1" s="58"/>
      <c r="D1" s="58"/>
      <c r="E1" s="58"/>
    </row>
    <row r="2" ht="30" customHeight="1">
      <c r="A2" s="58" t="str">
        <v>Périmètre : application de bureau Qalculate! (interface GTK et moteur libqalculate), calculs, définitions et taux de change.</v>
      </c>
      <c r="B2" s="58"/>
      <c r="C2" s="58"/>
      <c r="D2" s="58"/>
      <c r="E2" s="58"/>
    </row>
    <row r="3" ht="30" customHeight="1">
      <c r="A3" s="58" t="str">
        <v>Évaluation documentaire au 08/10/2026. Les scores sont des estimations argumentées, pas des mesures ni des notes officielles du projet.</v>
      </c>
      <c r="B3" s="58"/>
      <c r="C3" s="58"/>
      <c r="D3" s="58"/>
      <c r="E3" s="58"/>
    </row>
    <row r="4" ht="30" customHeight="1">
      <c r="A4" s="58" t="str">
        <v>Échelle du CM : 0 = aucune influence ; 5 = influence critique. Convention retenue : 1 faible, 2 modérée, 3 moyenne, 4 forte.</v>
      </c>
      <c r="B4" s="58"/>
      <c r="C4" s="58"/>
      <c r="D4" s="58"/>
      <c r="E4" s="58"/>
    </row>
    <row r="5" ht="30" customHeight="1">
      <c r="A5" s="58" t="str">
        <v>« En ligne » = interaction pendant l’utilisation. Fichiers maîtres : définitions persistantes prises comme données de référence.</v>
      </c>
      <c r="B5" s="58"/>
      <c r="C5" s="58"/>
      <c r="D5" s="58"/>
      <c r="E5" s="58"/>
    </row>
    <row r="6">
      <c r="A6" s="58"/>
      <c r="B6" s="58"/>
      <c r="C6" s="58"/>
      <c r="D6" s="58"/>
      <c r="E6" s="58"/>
    </row>
    <row r="7" ht="32" customHeight="1">
      <c r="A7" s="62" t="str">
        <v>N°</v>
      </c>
      <c r="B7" s="62" t="str">
        <v>Facteur technique du CM</v>
      </c>
      <c r="C7" s="62" t="str">
        <v>Note / 5</v>
      </c>
      <c r="D7" s="62" t="str">
        <v>Justification et hypothèses</v>
      </c>
      <c r="E7" s="62" t="str">
        <v>Source officielle</v>
      </c>
    </row>
    <row r="8" ht="68" customHeight="1">
      <c r="A8" s="59" t="n">
        <v>1</v>
      </c>
      <c r="B8" s="59" t="str">
        <v>Sauvegarde et récupération fiables</v>
      </c>
      <c r="C8" s="64" t="n">
        <v>2</v>
      </c>
      <c r="D8" s="59" t="str">
        <v>Historique et définitions conservés. Besoin modéré de préservation, sans exigence de reprise critique retenue.</v>
      </c>
      <c r="E8" s="60" t="str">
        <v>https://qalculate.github.io/manual/qalculate-user-interface.html</v>
      </c>
    </row>
    <row r="9" ht="68" customHeight="1">
      <c r="A9" s="59" t="n">
        <v>2</v>
      </c>
      <c r="B9" s="59" t="str">
        <v>Communications de données</v>
      </c>
      <c r="C9" s="64" t="n">
        <v>2</v>
      </c>
      <c r="D9" s="59" t="str">
        <v>Téléchargement des taux de change. Influence limitée à cette fonction dans le périmètre étudié.</v>
      </c>
      <c r="E9" s="60" t="str">
        <v>https://qalculate.github.io/manual/qalculate-units.html</v>
      </c>
    </row>
    <row r="10" ht="68" customHeight="1">
      <c r="A10" s="59" t="n">
        <v>3</v>
      </c>
      <c r="B10" s="59" t="str">
        <v>Traitement distribué</v>
      </c>
      <c r="C10" s="64" t="n">
        <v>0</v>
      </c>
      <c r="D10" s="59" t="str">
        <v>Calcul local retenu. Aucun traitement distribué documenté dans les fonctionnalités examinées ; télécharger des taux ne répartit pas le calcul.</v>
      </c>
      <c r="E10" s="60" t="str">
        <v>https://github.com/Qalculate/qalculate-gtk</v>
      </c>
    </row>
    <row r="11" ht="68" customHeight="1">
      <c r="A11" s="59" t="n">
        <v>4</v>
      </c>
      <c r="B11" s="59" t="str">
        <v>Performances critiques</v>
      </c>
      <c r="C11" s="64" t="n">
        <v>3</v>
      </c>
      <c r="D11" s="59" t="str">
        <v>Le calcul au fil de la saisie motive une bonne réactivité. Influence moyenne, sans contrainte de temps réel critique supposée.</v>
      </c>
      <c r="E11" s="60" t="str">
        <v>https://github.com/Qalculate/qalculate-gtk</v>
      </c>
    </row>
    <row r="12" ht="68" customHeight="1">
      <c r="A12" s="59" t="n">
        <v>5</v>
      </c>
      <c r="B12" s="59" t="str">
        <v>Environnement existant fortement utilisé</v>
      </c>
      <c r="C12" s="64" t="n">
        <v>1</v>
      </c>
      <c r="D12" s="59" t="str">
        <v>Hypothèse : poste de bureau ordinaire, partagé avec d’autres applications. Aucune forte contention démontrée ; faible influence retenue.</v>
      </c>
      <c r="E12" s="60" t="str">
        <v>https://github.com/Qalculate/qalculate-gtk</v>
      </c>
    </row>
    <row r="13" ht="68" customHeight="1">
      <c r="A13" s="59" t="n">
        <v>6</v>
      </c>
      <c r="B13" s="59" t="str">
        <v>Entrées en ligne</v>
      </c>
      <c r="C13" s="64" t="n">
        <v>4</v>
      </c>
      <c r="D13" s="59" t="str">
        <v>La saisie interactive des expressions est le mode principal d’utilisation. Influence forte sur la conception de l’interface.</v>
      </c>
      <c r="E13" s="60" t="str">
        <v>https://qalculate.github.io/manual/qalculate-user-interface.html</v>
      </c>
    </row>
    <row r="14" ht="68" customHeight="1">
      <c r="A14" s="59" t="n">
        <v>7</v>
      </c>
      <c r="B14" s="59" t="str">
        <v>Saisie sur plusieurs écrans</v>
      </c>
      <c r="C14" s="64" t="n">
        <v>1</v>
      </c>
      <c r="D14" s="59" t="str">
        <v>Le calcul courant tient dans la fenêtre principale. Des dialogues servent aux matrices ou fonctions ; influence faible.</v>
      </c>
      <c r="E14" s="60" t="str">
        <v>https://qalculate.github.io/manual/qalculate-user-interface.html</v>
      </c>
    </row>
    <row r="15" ht="68" customHeight="1">
      <c r="A15" s="59" t="n">
        <v>8</v>
      </c>
      <c r="B15" s="59" t="str">
        <v>Mise à jour en ligne des fichiers maîtres</v>
      </c>
      <c r="C15" s="64" t="n">
        <v>2</v>
      </c>
      <c r="D15" s="59" t="str">
        <v>Les définitions personnelles peuvent être modifiées et sauvegardées. Assimilation pédagogique à des données de référence, sans base métier centrale.</v>
      </c>
      <c r="E15" s="60" t="str">
        <v>https://qalculate.github.io/manual/qalculate-user-interface.html</v>
      </c>
    </row>
    <row r="16" ht="68" customHeight="1">
      <c r="A16" s="59" t="n">
        <v>9</v>
      </c>
      <c r="B16" s="59" t="str">
        <v>Complexité des entrées, sorties et fichiers</v>
      </c>
      <c r="C16" s="64" t="n">
        <v>4</v>
      </c>
      <c r="D16" s="59" t="str">
        <v>Expressions symboliques, unités et précision arbitraire imposent des représentations riches. Influence forte.</v>
      </c>
      <c r="E16" s="60" t="str">
        <v>https://github.com/Qalculate/libqalculate</v>
      </c>
    </row>
    <row r="17" ht="68" customHeight="1">
      <c r="A17" s="59" t="n">
        <v>10</v>
      </c>
      <c r="B17" s="59" t="str">
        <v>Complexité du traitement interne</v>
      </c>
      <c r="C17" s="64" t="n">
        <v>5</v>
      </c>
      <c r="D17" s="59" t="str">
        <v>Calcul symbolique, équations, intégrales et propagation des incertitudes : traitements au cœur du produit. Influence critique retenue.</v>
      </c>
      <c r="E17" s="60" t="str">
        <v>https://github.com/Qalculate/libqalculate</v>
      </c>
    </row>
    <row r="18" ht="68" customHeight="1">
      <c r="A18" s="59" t="n">
        <v>11</v>
      </c>
      <c r="B18" s="59" t="str">
        <v>Réutilisabilité du code</v>
      </c>
      <c r="C18" s="64" t="n">
        <v>5</v>
      </c>
      <c r="D18" s="59" t="str">
        <v>Le moteur libqalculate est une bibliothèque distincte, utilisée par plusieurs interfaces. La réutilisation structure l’architecture.</v>
      </c>
      <c r="E18" s="60" t="str">
        <v>https://github.com/Qalculate/libqalculate</v>
      </c>
    </row>
    <row r="19" ht="68" customHeight="1">
      <c r="A19" s="59" t="n">
        <v>12</v>
      </c>
      <c r="B19" s="59" t="str">
        <v>Conversion et installation prévues</v>
      </c>
      <c r="C19" s="64" t="n">
        <v>3</v>
      </c>
      <c r="D19" s="59" t="str">
        <v>Installateurs, archives portables et paquets sont proposés. Installation prise en compte ; pas de migration métier complexe supposée.</v>
      </c>
      <c r="E19" s="60" t="str">
        <v>https://qalculate.github.io/downloads.html</v>
      </c>
    </row>
    <row r="20" ht="68" customHeight="1">
      <c r="A20" s="59" t="n">
        <v>13</v>
      </c>
      <c r="B20" s="59" t="str">
        <v>Multiples organisations ou plateformes</v>
      </c>
      <c r="C20" s="64" t="n">
        <v>4</v>
      </c>
      <c r="D20" s="59" t="str">
        <v>Distribution pour Windows, macOS et GNU/Linux. La portabilité justifie une influence forte, sans supposer un système multi-organisations.</v>
      </c>
      <c r="E20" s="60" t="str">
        <v>https://qalculate.github.io/downloads.html</v>
      </c>
    </row>
    <row r="21" ht="68" customHeight="1">
      <c r="A21" s="59" t="n">
        <v>14</v>
      </c>
      <c r="B21" s="59" t="str">
        <v>Facilité d’utilisation</v>
      </c>
      <c r="C21" s="64" t="n">
        <v>5</v>
      </c>
      <c r="D21" s="59" t="str">
        <v>Complétion, aide à la saisie et historique facilitent les calculs. L’ergonomie est retenue comme exigence centrale.</v>
      </c>
      <c r="E21" s="60" t="str">
        <v>https://github.com/Qalculate/qalculate-gtk</v>
      </c>
    </row>
    <row r="22">
      <c r="A22" s="58"/>
      <c r="B22" s="58"/>
      <c r="C22" s="65"/>
      <c r="D22" s="58"/>
      <c r="E22" s="58"/>
    </row>
    <row r="23" ht="28" customHeight="1">
      <c r="A23" s="58"/>
      <c r="B23" s="58" t="str">
        <v>Somme des 14 notes</v>
      </c>
      <c r="C23" s="65" t="n">
        <f>SUM(C8:C21)</f>
        <v>41</v>
      </c>
      <c r="D23" s="58"/>
      <c r="E23" s="58"/>
    </row>
    <row r="24" ht="28" customHeight="1">
      <c r="A24" s="58"/>
      <c r="B24" s="58" t="str">
        <v>Constante du CM</v>
      </c>
      <c r="C24" s="66" t="n">
        <v>0.65</v>
      </c>
      <c r="D24" s="58"/>
      <c r="E24" s="58"/>
    </row>
    <row r="25" ht="28" customHeight="1">
      <c r="A25" s="58"/>
      <c r="B25" s="58" t="str">
        <v>Coefficient du CM</v>
      </c>
      <c r="C25" s="66" t="n">
        <v>0.01</v>
      </c>
      <c r="D25" s="58"/>
      <c r="E25" s="58"/>
    </row>
    <row r="26" ht="28" customHeight="1">
      <c r="A26" s="58"/>
      <c r="B26" s="62" t="str">
        <v>TFC = 0,65 + 0,01 × somme</v>
      </c>
      <c r="C26" s="68" t="n">
        <f>C24+C25*C23</f>
        <v>1.06</v>
      </c>
      <c r="D26" s="58"/>
      <c r="E26" s="58"/>
    </row>
    <row r="27">
      <c r="A27" s="58"/>
      <c r="B27" s="58"/>
      <c r="C27" s="58"/>
      <c r="D27" s="58"/>
      <c r="E27" s="58"/>
    </row>
    <row r="28" ht="32" customHeight="1">
      <c r="A28" s="58" t="str">
        <v>Source de la méthode : CM R5.A.08, pages 47-48 (formule et ordre des 14 facteurs). Le TD écrit TFC ; le CM emploie TCF.</v>
      </c>
      <c r="B28" s="58"/>
      <c r="C28" s="58"/>
      <c r="D28" s="58"/>
      <c r="E28" s="58"/>
    </row>
    <row r="29" ht="32" customHeight="1">
      <c r="A29" s="58" t="str">
        <v>Le facteur obtenu concerne Qalculate! : il ne doit pas être multiplié par l’UFC de QuickSort, qui décrit un autre système.</v>
      </c>
      <c r="B29" s="58"/>
      <c r="C29" s="58"/>
      <c r="D29" s="58"/>
      <c r="E29" s="58"/>
    </row>
  </sheetData>
  <mergeCells>
    <mergeCell ref="A1:E1"/>
    <mergeCell ref="A2:E2"/>
    <mergeCell ref="A3:E3"/>
    <mergeCell ref="A4:E4"/>
    <mergeCell ref="A5:E5"/>
    <mergeCell ref="A28:E28"/>
    <mergeCell ref="A29:E29"/>
  </mergeCells>
  <dataValidations count="1">
    <dataValidation type="whole" operator="between" sqref="C8:C21">
      <formula1>0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LibreOffice/25.8.7.2$Windows_X86_64 LibreOffice_project/e9cfafff50477fae0fcf42925ebd2aec2bdc5df4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2026-09-28T13:17:57Z</dcterms:created>
  <dc:creator>RIBBE Jules</dc:creator>
  <dc:description/>
  <dc:language>fr-FR</dc:language>
  <cp:lastModifiedBy/>
  <dcterms:modified xsi:type="dcterms:W3CDTF">2026-10-08T15:34:59Z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