
<file path=[Content_Types].xml><?xml version="1.0" encoding="utf-8"?>
<ns0:Types xmlns:ns0="http://schemas.openxmlformats.org/package/2006/content-types">
  <ns0:Default Extension="fntdata" ContentType="application/x-fontdata"/>
  <ns0:Default Extension="jpeg" ContentType="image/jpeg"/>
  <ns0:Default Extension="png" ContentType="image/png"/>
  <ns0:Default Extension="rels" ContentType="application/vnd.openxmlformats-package.relationships+xml"/>
  <ns0:Default Extension="xml" ContentType="application/xml"/>
  <ns0:Override PartName="/docProps/custom.xml" ContentType="application/vnd.openxmlformats-officedocument.custom-properties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styles.xml" ContentType="application/vnd.openxmlformats-officedocument.spreadsheetml.styles+xml"/>
  <ns0:Override PartName="/xl/workbook.xml" ContentType="application/vnd.openxmlformats-officedocument.spreadsheetml.sheet.main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4.xml" ContentType="application/vnd.openxmlformats-officedocument.spreadsheetml.worksheet+xml"/>
</ns0: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1="http://schemas.openxmlformats.org/officeDocument/2006/relationships" xmlns:ns2="http://schemas.libreoffice.org/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alstead" sheetId="1" state="visible" ns1:id="rId3"/>
    <sheet name="LOC" sheetId="2" state="visible" ns1:id="rId4"/>
    <sheet name="CC" sheetId="3" state="visible" ns1:id="rId5"/>
    <sheet name="UFC QuickSort" sheetId="4" ns1:id="rIdQ9"/>
  </sheets>
  <calcPr iterateCount="100" refMode="A1" iterate="false" iterateDelta="0.0001"/>
  <extLst>
    <ext uri="{7626C862-2A13-11E5-B345-FEFF819CDC9F}">
      <ns2:extCalcPr stringRefSyntax="ExcelA1"/>
    </ext>
  </extLst>
</workbook>
</file>

<file path=xl/sharedStrings.xml><?xml version="1.0" encoding="utf-8"?>
<sst xmlns="http://schemas.openxmlformats.org/spreadsheetml/2006/main" count="41" uniqueCount="40">
  <si>
    <t xml:space="preserve">Opérateurs</t>
  </si>
  <si>
    <t xml:space="preserve">Occurrences</t>
  </si>
  <si>
    <t xml:space="preserve">Opérandes</t>
  </si>
  <si>
    <t xml:space="preserve">void (déclaration de fonction)</t>
  </si>
  <si>
    <t xml:space="preserve">a</t>
  </si>
  <si>
    <t xml:space="preserve">if</t>
  </si>
  <si>
    <t xml:space="preserve">n</t>
  </si>
  <si>
    <t xml:space="preserve">&lt;= </t>
  </si>
  <si>
    <t xml:space="preserve">i</t>
  </si>
  <si>
    <t xml:space="preserve">return</t>
  </si>
  <si>
    <t xml:space="preserve">j</t>
  </si>
  <si>
    <t xml:space="preserve">for</t>
  </si>
  <si>
    <t xml:space="preserve">=</t>
  </si>
  <si>
    <t xml:space="preserve">&lt;</t>
  </si>
  <si>
    <t xml:space="preserve">swap()</t>
  </si>
  <si>
    <t xml:space="preserve">++</t>
  </si>
  <si>
    <t xml:space="preserve">iqsort0</t>
  </si>
  <si>
    <t xml:space="preserve">+</t>
  </si>
  <si>
    <t xml:space="preserve">-</t>
  </si>
  <si>
    <t xml:space="preserve">Nt =</t>
  </si>
  <si>
    <t xml:space="preserve">nd =</t>
  </si>
  <si>
    <t xml:space="preserve">Nombre total d’occurences Opérateur</t>
  </si>
  <si>
    <t xml:space="preserve">Nombre total d’Opérandes distinct</t>
  </si>
  <si>
    <t xml:space="preserve">nt =</t>
  </si>
  <si>
    <t xml:space="preserve">Nd =</t>
  </si>
  <si>
    <t xml:space="preserve">Nombre d’Opérateur distinct</t>
  </si>
  <si>
    <t xml:space="preserve">Nombre total d’occurences d’Opérandes</t>
  </si>
  <si>
    <t xml:space="preserve">Formules</t>
  </si>
  <si>
    <t xml:space="preserve">Total</t>
  </si>
  <si>
    <t xml:space="preserve">N = Nt + Nd</t>
  </si>
  <si>
    <t xml:space="preserve">n = nt + nd</t>
  </si>
  <si>
    <r>
      <rPr>
        <sz val="12"/>
        <color theme="1"/>
        <rFont val="Aptos Narrow"/>
        <family val="2"/>
        <charset val="1"/>
      </rPr>
      <t xml:space="preserve">Volume = N * log</t>
    </r>
    <r>
      <rPr>
        <vertAlign val="subscript"/>
        <sz val="12"/>
        <color theme="1"/>
        <rFont val="Aptos Narrow"/>
        <family val="2"/>
        <charset val="1"/>
      </rPr>
      <t xml:space="preserve">2</t>
    </r>
    <r>
      <rPr>
        <sz val="12"/>
        <color theme="1"/>
        <rFont val="Aptos Narrow"/>
        <family val="2"/>
        <charset val="1"/>
      </rPr>
      <t xml:space="preserve">(n)</t>
    </r>
  </si>
  <si>
    <t xml:space="preserve">Difficulté = (nt /2) * (Nd / nd)</t>
  </si>
  <si>
    <t xml:space="preserve">Effort = Difficulté * Volume</t>
  </si>
  <si>
    <t xml:space="preserve">Lignes</t>
  </si>
  <si>
    <t xml:space="preserve">Élément </t>
  </si>
  <si>
    <t xml:space="preserve">Valeurs</t>
  </si>
  <si>
    <t xml:space="preserve">Nombre de nœuds (N) :</t>
  </si>
  <si>
    <t xml:space="preserve">Nombre d’arêtes (E) :</t>
  </si>
  <si>
    <t xml:space="preserve">Calcul : 
(CC = [E – N] +2)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</si>
</sst>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General"/>
    <numFmt numFmtId="167" formatCode="0"/>
  </numFmts>
  <fonts count="33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ptos Narrow"/>
      <family val="2"/>
    </font>
    <font>
      <i val="true"/>
      <sz val="12"/>
      <color theme="1"/>
      <name val="Aptos Narrow"/>
      <family val="2"/>
      <charset val="1"/>
    </font>
    <font>
      <vertAlign val="subscript"/>
      <sz val="12"/>
      <color theme="1"/>
      <name val="Aptos Narrow"/>
      <family val="2"/>
      <charset val="1"/>
    </font>
    <font>
      <b val="true"/>
      <sz val="15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ptos Narrow"/>
      <family val="2"/>
    </font>
    <font>
      <i val="true"/>
      <sz val="12"/>
      <color theme="1"/>
      <name val="Aptos Narrow"/>
      <family val="2"/>
      <charset val="1"/>
    </font>
    <font>
      <vertAlign val="subscript"/>
      <sz val="12"/>
      <color theme="1"/>
      <name val="Aptos Narrow"/>
      <family val="2"/>
      <charset val="1"/>
    </font>
    <font>
      <b val="true"/>
      <sz val="15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color theme="1"/>
      <name val="Aptos Narrow"/>
    </font>
    <font>
      <sz val="10"/>
      <name val="Arial"/>
    </font>
    <font>
      <sz val="10"/>
      <name val="Arial"/>
    </font>
    <font>
      <sz val="10"/>
      <name val="Arial"/>
    </font>
    <font>
      <sz val="12"/>
      <color theme="1"/>
      <name val="Aptos Narrow"/>
    </font>
    <font>
      <i/>
      <sz val="12"/>
      <color theme="1"/>
      <name val="Aptos Narrow"/>
    </font>
    <font>
      <sz val="12"/>
      <color theme="1"/>
      <name val="Aptos Narrow"/>
    </font>
    <font>
      <b/>
      <sz val="15"/>
      <color theme="1"/>
      <name val="Times New Roman"/>
    </font>
    <font>
      <sz val="13"/>
      <color theme="1"/>
      <name val="Times New Roman"/>
    </font>
    <font>
      <sz val="12"/>
      <color theme="1"/>
      <name val="Times New Roman"/>
    </font>
    <font>
      <sz val="11"/>
      <color theme="1"/>
      <name val="Arial"/>
    </font>
    <font>
      <b/>
      <sz val="14"/>
      <color theme="1"/>
      <name val="Arial"/>
    </font>
    <font>
      <b/>
      <sz val="11"/>
      <color theme="1"/>
      <name val="Arial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FFF2CC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  <border diagonalUp="0" diagonalDown="0"/>
    <border diagonalUp="0" diagonalDown="0">
      <right style="thin"/>
      <bottom style="thin"/>
    </border>
    <border diagonalUp="0" diagonalDown="0">
      <bottom style="thin"/>
    </border>
    <border diagonalUp="0" diagonalDown="0">
      <right style="thin"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2" borderId="4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4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4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0" fillId="2" borderId="4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2" borderId="4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5" fillId="2" borderId="4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2" borderId="4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7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8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2" borderId="4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2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9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0" fillId="4" borderId="8" xfId="0" applyFont="0" applyBorder="0" applyAlignment="0">
      <alignment horizontal="general" vertical="bottom" wrapText="0"/>
    </xf>
    <xf numFmtId="166" fontId="20" fillId="4" borderId="8" xfId="0" applyFont="1" applyBorder="0" applyAlignment="0">
      <alignment horizontal="general" vertical="bottom" wrapText="0"/>
    </xf>
    <xf numFmtId="166" fontId="20" fillId="4" borderId="8" xfId="0" applyFont="1" applyBorder="0" applyAlignment="1">
      <alignment horizontal="left" vertical="bottom" wrapText="0"/>
    </xf>
    <xf numFmtId="166" fontId="20" fillId="4" borderId="8" xfId="0" applyFont="1" applyBorder="0" applyAlignment="1">
      <alignment horizontal="right" vertical="bottom" wrapText="0"/>
    </xf>
    <xf numFmtId="166" fontId="24" fillId="4" borderId="8" xfId="0" applyFont="1" applyBorder="0" applyAlignment="1">
      <alignment horizontal="left" vertical="bottom" wrapText="0"/>
    </xf>
    <xf numFmtId="166" fontId="25" fillId="4" borderId="8" xfId="0" applyFont="1" applyBorder="0" applyAlignment="1">
      <alignment horizontal="right" vertical="bottom" wrapText="0"/>
    </xf>
    <xf numFmtId="166" fontId="20" fillId="4" borderId="8" xfId="0" applyFont="1" applyBorder="0" applyAlignment="1">
      <alignment horizontal="general" vertical="bottom" wrapText="0"/>
    </xf>
    <xf numFmtId="166" fontId="27" fillId="4" borderId="9" xfId="0" applyFont="1" applyBorder="1" applyAlignment="1">
      <alignment horizontal="center" vertical="bottom" wrapText="0"/>
    </xf>
    <xf numFmtId="166" fontId="27" fillId="4" borderId="10" xfId="0" applyFont="1" applyBorder="1" applyAlignment="1">
      <alignment horizontal="center" vertical="bottom" wrapText="0"/>
    </xf>
    <xf numFmtId="166" fontId="28" fillId="4" borderId="11" xfId="0" applyFont="1" applyBorder="1" applyAlignment="1">
      <alignment horizontal="center" vertical="center" wrapText="0"/>
    </xf>
    <xf numFmtId="166" fontId="29" fillId="4" borderId="8" xfId="0" applyFont="1" applyBorder="0" applyAlignment="1">
      <alignment horizontal="general" vertical="bottom" wrapText="0"/>
    </xf>
    <xf numFmtId="166" fontId="29" fillId="4" borderId="11" xfId="0" applyFont="1" applyBorder="1" applyAlignment="1">
      <alignment horizontal="center" vertical="center" wrapText="0"/>
    </xf>
    <xf numFmtId="166" fontId="29" fillId="4" borderId="11" xfId="0" applyFont="1" applyBorder="1" applyAlignment="1">
      <alignment horizontal="center" vertical="center" wrapText="1"/>
    </xf>
    <xf numFmtId="166" fontId="29" fillId="4" borderId="11" xfId="0" applyFont="1" applyBorder="1" applyAlignment="1">
      <alignment horizontal="center" vertical="bottom" wrapText="0"/>
    </xf>
    <xf numFmtId="166" fontId="30" fillId="4" borderId="8" xfId="0" applyNumberFormat="1" applyFont="1" applyFill="1" applyBorder="1" applyAlignment="1">
      <alignment horizontal="general" vertical="bottom" wrapText="0"/>
    </xf>
    <xf numFmtId="166" fontId="31" fillId="4" borderId="8" xfId="0" applyNumberFormat="1" applyFont="1" applyFill="1" applyBorder="1" applyAlignment="1">
      <alignment horizontal="general" vertical="bottom" wrapText="0"/>
    </xf>
    <xf numFmtId="166" fontId="30" fillId="6" borderId="8" xfId="0" applyNumberFormat="1" applyFont="1" applyFill="1" applyBorder="1" applyAlignment="1">
      <alignment horizontal="general" vertical="bottom" wrapText="0"/>
    </xf>
    <xf numFmtId="166" fontId="32" fillId="6" borderId="8" xfId="0" applyNumberFormat="1" applyFont="1" applyFill="1" applyBorder="1" applyAlignment="1">
      <alignment horizontal="general" vertical="bottom" wrapText="0"/>
    </xf>
    <xf numFmtId="166" fontId="32" fillId="4" borderId="8" xfId="0" applyNumberFormat="1" applyFont="1" applyFill="1" applyBorder="1" applyAlignment="1">
      <alignment horizontal="general" vertical="bottom" wrapText="0"/>
    </xf>
    <xf numFmtId="167" fontId="30" fillId="4" borderId="8" xfId="0" applyNumberFormat="1" applyFont="1" applyFill="1" applyBorder="1" applyAlignment="1">
      <alignment horizontal="general" vertical="bottom" wrapText="0"/>
    </xf>
    <xf numFmtId="167" fontId="32" fillId="6" borderId="8" xfId="0" applyNumberFormat="1" applyFont="1" applyFill="1" applyBorder="1" applyAlignment="1">
      <alignment horizontal="general" vertical="bottom" wrapText="0"/>
    </xf>
    <xf numFmtId="167" fontId="30" fillId="7" borderId="8" xfId="0" applyNumberFormat="1" applyFont="1" applyFill="1" applyBorder="1" applyAlignment="1">
      <alignment horizontal="general" vertical="bottom" wrapText="0"/>
    </xf>
    <xf numFmtId="166" fontId="30" fillId="4" borderId="8" xfId="0" applyNumberFormat="1" applyFont="1" applyFill="1" applyBorder="1" applyAlignment="1">
      <alignment horizontal="general" vertical="bottom" wrapText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theme" Target="theme/theme1.xml" /><ns0:Relationship Id="rId2" Type="http://schemas.openxmlformats.org/officeDocument/2006/relationships/styles" Target="styles.xml" /><ns0:Relationship Id="rId3" Type="http://schemas.openxmlformats.org/officeDocument/2006/relationships/worksheet" Target="worksheets/sheet1.xml" /><ns0:Relationship Id="rId4" Type="http://schemas.openxmlformats.org/officeDocument/2006/relationships/worksheet" Target="worksheets/sheet2.xml" /><ns0:Relationship Id="rId5" Type="http://schemas.openxmlformats.org/officeDocument/2006/relationships/worksheet" Target="worksheets/sheet3.xml" /><ns0:Relationship Id="rId6" Type="http://schemas.openxmlformats.org/officeDocument/2006/relationships/sharedStrings" Target="sharedStrings.xml" />
<ns0:Relationship Id="rIdQ9" Type="http://schemas.openxmlformats.org/officeDocument/2006/relationships/worksheet" Target="worksheets/sheet4.xml" /></ns0: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true" showOutlineSymbols="true" defaultGridColor="true" view="normal" topLeftCell="A10" colorId="64" zoomScale="200" zoomScaleNormal="200" zoomScalePageLayoutView="100" workbookViewId="0">
      <selection pane="topLeft" activeCell="C22" activeCellId="0" sqref="C22"/>
    </sheetView>
  </sheetViews>
  <sheetFormatPr defaultColWidth="11.74609375" defaultRowHeight="12.8" customHeight="false" zeroHeight="false" outlineLevelRow="0" outlineLevelCol="0"/>
  <cols>
    <col collapsed="false" customWidth="true" hidden="false" outlineLevel="0" max="1" min="1" style="0" width="31.34"/>
    <col collapsed="false" customWidth="true" hidden="false" outlineLevel="0" max="3" min="3" style="0" width="33.5"/>
  </cols>
  <sheetData>
    <row r="1" customFormat="false" ht="15" hidden="false" customHeight="false" outlineLevel="0" collapsed="false">
      <c r="A1" s="0" t="s">
        <v>0</v>
      </c>
      <c r="B1" s="0" t="s">
        <v>1</v>
      </c>
      <c r="D1" s="0" t="s">
        <v>2</v>
      </c>
      <c r="E1" s="0" t="s">
        <v>1</v>
      </c>
    </row>
    <row r="2" customFormat="false" ht="15" hidden="false" customHeight="false" outlineLevel="0" collapsed="false">
      <c r="A2" s="1" t="s">
        <v>3</v>
      </c>
      <c r="B2" s="0" t="n">
        <v>1</v>
      </c>
      <c r="D2" s="2" t="s">
        <v>4</v>
      </c>
      <c r="E2" s="0" t="n">
        <v>7</v>
      </c>
    </row>
    <row r="3" customFormat="false" ht="15" hidden="false" customHeight="false" outlineLevel="0" collapsed="false">
      <c r="A3" s="1" t="s">
        <v>5</v>
      </c>
      <c r="B3" s="0" t="n">
        <v>2</v>
      </c>
      <c r="D3" s="2" t="s">
        <v>6</v>
      </c>
      <c r="E3" s="0" t="n">
        <v>4</v>
      </c>
    </row>
    <row r="4" customFormat="false" ht="15" hidden="false" customHeight="false" outlineLevel="0" collapsed="false">
      <c r="A4" s="1" t="s">
        <v>7</v>
      </c>
      <c r="B4" s="0" t="n">
        <v>1</v>
      </c>
      <c r="D4" s="2" t="s">
        <v>8</v>
      </c>
      <c r="E4" s="0" t="n">
        <v>6</v>
      </c>
    </row>
    <row r="5" customFormat="false" ht="15" hidden="false" customHeight="false" outlineLevel="0" collapsed="false">
      <c r="A5" s="1" t="s">
        <v>9</v>
      </c>
      <c r="B5" s="0" t="n">
        <v>1</v>
      </c>
      <c r="D5" s="2" t="s">
        <v>10</v>
      </c>
      <c r="E5" s="0" t="n">
        <v>7</v>
      </c>
    </row>
    <row r="6" customFormat="false" ht="15" hidden="false" customHeight="false" outlineLevel="0" collapsed="false">
      <c r="A6" s="1" t="s">
        <v>11</v>
      </c>
      <c r="B6" s="0" t="n">
        <v>1</v>
      </c>
      <c r="D6" s="2" t="n">
        <v>0</v>
      </c>
      <c r="E6" s="0" t="n">
        <v>3</v>
      </c>
    </row>
    <row r="7" customFormat="false" ht="15" hidden="false" customHeight="false" outlineLevel="0" collapsed="false">
      <c r="A7" s="1" t="s">
        <v>12</v>
      </c>
      <c r="B7" s="0" t="n">
        <v>2</v>
      </c>
      <c r="D7" s="2" t="n">
        <v>1</v>
      </c>
      <c r="E7" s="0" t="n">
        <v>4</v>
      </c>
    </row>
    <row r="8" customFormat="false" ht="15" hidden="false" customHeight="false" outlineLevel="0" collapsed="false">
      <c r="A8" s="1" t="s">
        <v>13</v>
      </c>
      <c r="B8" s="0" t="n">
        <v>2</v>
      </c>
      <c r="D8" s="2" t="s">
        <v>14</v>
      </c>
      <c r="E8" s="0" t="n">
        <v>2</v>
      </c>
    </row>
    <row r="9" customFormat="false" ht="15" hidden="false" customHeight="false" outlineLevel="0" collapsed="false">
      <c r="A9" s="1" t="s">
        <v>15</v>
      </c>
      <c r="B9" s="0" t="n">
        <v>2</v>
      </c>
      <c r="D9" s="2" t="s">
        <v>16</v>
      </c>
      <c r="E9" s="0" t="n">
        <v>2</v>
      </c>
    </row>
    <row r="10" customFormat="false" ht="15" hidden="false" customHeight="false" outlineLevel="0" collapsed="false">
      <c r="A10" s="1" t="s">
        <v>17</v>
      </c>
      <c r="B10" s="0" t="n">
        <v>2</v>
      </c>
    </row>
    <row r="11" customFormat="false" ht="15" hidden="false" customHeight="false" outlineLevel="0" collapsed="false">
      <c r="A11" s="1" t="s">
        <v>18</v>
      </c>
      <c r="B11" s="0" t="n">
        <v>2</v>
      </c>
    </row>
    <row r="12" customFormat="false" ht="15" hidden="false" customHeight="false" outlineLevel="0" collapsed="false">
      <c r="A12" s="3" t="s">
        <v>19</v>
      </c>
      <c r="B12" s="2" t="n">
        <f aca="false">SUM(B2:B11)</f>
        <v>16</v>
      </c>
      <c r="C12" s="3" t="s">
        <v>20</v>
      </c>
      <c r="D12" s="4" t="n">
        <f aca="false">ROWS(D2:D9)</f>
        <v>8</v>
      </c>
    </row>
    <row r="13" customFormat="false" ht="15" hidden="false" customHeight="false" outlineLevel="0" collapsed="false">
      <c r="A13" s="5" t="s">
        <v>21</v>
      </c>
      <c r="C13" s="0" t="s">
        <v>22</v>
      </c>
    </row>
    <row r="14" customFormat="false" ht="15" hidden="false" customHeight="false" outlineLevel="0" collapsed="false">
      <c r="A14" s="3" t="s">
        <v>23</v>
      </c>
      <c r="B14" s="2" t="n">
        <f aca="false">ROWS(B2:B11)</f>
        <v>10</v>
      </c>
      <c r="C14" s="3" t="s">
        <v>24</v>
      </c>
      <c r="D14" s="2" t="n">
        <f aca="false">SUM(E2:E9)</f>
        <v>35</v>
      </c>
    </row>
    <row r="15" customFormat="false" ht="12.8" hidden="false" customHeight="false" outlineLevel="0" collapsed="false">
      <c r="A15" s="0" t="s">
        <v>25</v>
      </c>
      <c r="C15" s="0" t="s">
        <v>26</v>
      </c>
    </row>
    <row r="17" customFormat="false" ht="12.8" hidden="false" customHeight="false" outlineLevel="0" collapsed="false">
      <c r="A17" s="0" t="s">
        <v>27</v>
      </c>
      <c r="B17" s="0" t="s">
        <v>28</v>
      </c>
    </row>
    <row r="18" customFormat="false" ht="12.8" hidden="false" customHeight="false" outlineLevel="0" collapsed="false">
      <c r="A18" s="0" t="s">
        <v>29</v>
      </c>
      <c r="B18" s="0" t="n">
        <f aca="false">B12+D14</f>
        <v>51</v>
      </c>
    </row>
    <row r="19" customFormat="false" ht="12.8" hidden="false" customHeight="false" outlineLevel="0" collapsed="false">
      <c r="A19" s="0" t="s">
        <v>30</v>
      </c>
      <c r="B19" s="0" t="n">
        <f aca="false">B14+D12</f>
        <v>18</v>
      </c>
    </row>
    <row r="20" customFormat="false" ht="15.35" hidden="false" customHeight="false" outlineLevel="0" collapsed="false">
      <c r="A20" s="0" t="s">
        <v>31</v>
      </c>
      <c r="B20" s="0" t="n">
        <f aca="false">B18*LOG(B19,2)</f>
        <v>212.666175073558</v>
      </c>
    </row>
    <row r="21" customFormat="false" ht="12.8" hidden="false" customHeight="false" outlineLevel="0" collapsed="false">
      <c r="A21" s="0" t="s">
        <v>32</v>
      </c>
      <c r="B21" s="0" t="n">
        <f aca="false">(B14/2)*(D14/D12)</f>
        <v>21.875</v>
      </c>
    </row>
    <row r="22" customFormat="false" ht="12.8" hidden="false" customHeight="false" outlineLevel="0" collapsed="false">
      <c r="A22" s="0" t="s">
        <v>33</v>
      </c>
      <c r="B22" s="0" t="n">
        <f aca="false">B21*B20</f>
        <v>4652.07257973408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1" activeCellId="0" sqref="B1"/>
    </sheetView>
  </sheetViews>
  <sheetFormatPr defaultColWidth="10.4609375" defaultRowHeight="15.75" customHeight="false" zeroHeight="false" outlineLevelRow="0" outlineLevelCol="0"/>
  <sheetData>
    <row r="1" customFormat="false" ht="15.75" hidden="false" customHeight="false" outlineLevel="0" collapsed="false">
      <c r="A1" s="6" t="s">
        <v>34</v>
      </c>
      <c r="B1" s="6" t="n">
        <v>920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8" activeCellId="0" sqref="C8"/>
    </sheetView>
  </sheetViews>
  <sheetFormatPr defaultColWidth="11.74609375" defaultRowHeight="12.8" customHeight="false" zeroHeight="false" outlineLevelRow="0" outlineLevelCol="0"/>
  <cols>
    <col collapsed="false" customWidth="true" hidden="false" outlineLevel="0" max="1" min="1" style="6" width="23.81"/>
    <col collapsed="false" customWidth="true" hidden="false" outlineLevel="0" max="2" min="2" style="6" width="13.08"/>
  </cols>
  <sheetData>
    <row r="1" customFormat="false" ht="18.55" hidden="false" customHeight="false" outlineLevel="0" collapsed="false">
      <c r="A1" s="7" t="s">
        <v>35</v>
      </c>
      <c r="B1" s="8" t="s">
        <v>36</v>
      </c>
    </row>
    <row r="2" customFormat="false" ht="27.5" hidden="false" customHeight="true" outlineLevel="0" collapsed="false">
      <c r="A2" s="9" t="s">
        <v>37</v>
      </c>
      <c r="B2" s="10" t="n">
        <v>12</v>
      </c>
      <c r="C2" s="10"/>
      <c r="D2" s="10"/>
      <c r="E2" s="10"/>
      <c r="F2" s="10"/>
      <c r="G2" s="10"/>
    </row>
    <row r="3" customFormat="false" ht="31.5" hidden="false" customHeight="true" outlineLevel="0" collapsed="false">
      <c r="A3" s="11" t="s">
        <v>38</v>
      </c>
      <c r="B3" s="10" t="n">
        <v>14</v>
      </c>
      <c r="C3" s="10"/>
      <c r="D3" s="10"/>
      <c r="E3" s="10"/>
      <c r="F3" s="10"/>
      <c r="G3" s="10"/>
    </row>
    <row r="4" customFormat="false" ht="34.5" hidden="false" customHeight="true" outlineLevel="0" collapsed="false">
      <c r="A4" s="12" t="s">
        <v>39</v>
      </c>
      <c r="B4" s="10" t="n">
        <f aca="false">B3 - B2 + 2</f>
        <v>4</v>
      </c>
      <c r="C4" s="10"/>
      <c r="D4" s="10"/>
      <c r="E4" s="10"/>
      <c r="F4" s="10"/>
      <c r="G4" s="10"/>
    </row>
    <row r="5" customFormat="false" ht="15" hidden="false" customHeight="false" outlineLevel="0" collapsed="false">
      <c r="A5" s="13"/>
      <c r="B5" s="10"/>
      <c r="C5" s="10"/>
      <c r="D5" s="10"/>
      <c r="E5" s="10"/>
      <c r="F5" s="10"/>
      <c r="G5" s="10"/>
    </row>
    <row r="6" customFormat="false" ht="15" hidden="false" customHeight="false" outlineLevel="0" collapsed="false">
      <c r="A6" s="13"/>
      <c r="B6" s="10"/>
      <c r="C6" s="10"/>
      <c r="D6" s="10"/>
      <c r="E6" s="10"/>
      <c r="F6" s="10"/>
      <c r="G6" s="10"/>
    </row>
    <row r="7" customFormat="false" ht="15" hidden="false" customHeight="false" outlineLevel="0" collapsed="false">
      <c r="A7" s="13"/>
      <c r="B7" s="10"/>
      <c r="C7" s="10"/>
      <c r="D7" s="10"/>
      <c r="E7" s="10"/>
      <c r="F7" s="10"/>
      <c r="G7" s="10"/>
    </row>
    <row r="8" customFormat="false" ht="15" hidden="false" customHeight="false" outlineLevel="0" collapsed="false">
      <c r="A8" s="13"/>
      <c r="B8" s="10"/>
      <c r="C8" s="10"/>
      <c r="D8" s="10"/>
      <c r="E8" s="10"/>
      <c r="F8" s="10"/>
      <c r="G8" s="10"/>
    </row>
    <row r="9" customFormat="false" ht="15" hidden="false" customHeight="false" outlineLevel="0" collapsed="false">
      <c r="A9" s="13"/>
      <c r="B9" s="10"/>
      <c r="C9" s="10"/>
      <c r="D9" s="10"/>
      <c r="E9" s="10"/>
      <c r="F9" s="10"/>
      <c r="G9" s="10"/>
    </row>
    <row r="10" customFormat="false" ht="15" hidden="false" customHeight="false" outlineLevel="0" collapsed="false">
      <c r="A10" s="13"/>
      <c r="B10" s="10"/>
      <c r="C10" s="10"/>
      <c r="D10" s="10"/>
      <c r="E10" s="10"/>
      <c r="F10" s="10"/>
      <c r="G10" s="10"/>
    </row>
    <row r="11" customFormat="false" ht="15" hidden="false" customHeight="false" outlineLevel="0" collapsed="false">
      <c r="A11" s="13"/>
      <c r="B11" s="10"/>
      <c r="C11" s="10"/>
      <c r="D11" s="10"/>
      <c r="E11" s="10"/>
      <c r="F11" s="10"/>
      <c r="G11" s="10"/>
    </row>
    <row r="12" customFormat="false" ht="15" hidden="false" customHeight="false" outlineLevel="0" collapsed="false">
      <c r="A12" s="13"/>
      <c r="B12" s="10"/>
      <c r="C12" s="10"/>
      <c r="D12" s="10"/>
      <c r="E12" s="10"/>
      <c r="F12" s="10"/>
      <c r="G12" s="10"/>
    </row>
    <row r="13" customFormat="false" ht="15" hidden="false" customHeight="false" outlineLevel="0" collapsed="false">
      <c r="A13" s="13"/>
      <c r="B13" s="10"/>
      <c r="C13" s="10"/>
      <c r="D13" s="10"/>
      <c r="E13" s="10"/>
      <c r="F13" s="10"/>
      <c r="G13" s="10"/>
    </row>
    <row r="14" customFormat="false" ht="15" hidden="false" customHeight="false" outlineLevel="0" collapsed="false">
      <c r="A14" s="13"/>
      <c r="B14" s="10"/>
      <c r="C14" s="10"/>
      <c r="D14" s="10"/>
      <c r="E14" s="10"/>
      <c r="F14" s="10"/>
      <c r="G14" s="10"/>
    </row>
    <row r="15" customFormat="false" ht="15" hidden="false" customHeight="false" outlineLevel="0" collapsed="false">
      <c r="A15" s="13"/>
      <c r="B15" s="10"/>
      <c r="C15" s="10"/>
      <c r="D15" s="10"/>
      <c r="E15" s="10"/>
      <c r="F15" s="10"/>
      <c r="G15" s="10"/>
    </row>
    <row r="16" customFormat="false" ht="15" hidden="false" customHeight="false" outlineLevel="0" collapsed="false">
      <c r="A16" s="13"/>
      <c r="B16" s="10"/>
      <c r="C16" s="10"/>
      <c r="D16" s="10"/>
      <c r="E16" s="10"/>
      <c r="F16" s="10"/>
      <c r="G16" s="10"/>
    </row>
    <row r="17" customFormat="false" ht="15" hidden="false" customHeight="false" outlineLevel="0" collapsed="false">
      <c r="A17" s="13"/>
      <c r="B17" s="10"/>
      <c r="C17" s="10"/>
      <c r="D17" s="10"/>
      <c r="E17" s="10"/>
      <c r="F17" s="10"/>
      <c r="G17" s="10"/>
    </row>
    <row r="18" customFormat="false" ht="15" hidden="false" customHeight="false" outlineLevel="0" collapsed="false">
      <c r="A18" s="13"/>
      <c r="B18" s="10"/>
      <c r="C18" s="10"/>
      <c r="D18" s="10"/>
      <c r="E18" s="10"/>
      <c r="F18" s="10"/>
      <c r="G18" s="10"/>
    </row>
    <row r="19" customFormat="false" ht="15" hidden="false" customHeight="false" outlineLevel="0" collapsed="false">
      <c r="A19" s="13"/>
      <c r="B19" s="10"/>
      <c r="C19" s="10"/>
      <c r="D19" s="10"/>
      <c r="E19" s="10"/>
      <c r="F19" s="10"/>
      <c r="G19" s="10"/>
    </row>
    <row r="20" customFormat="false" ht="15" hidden="false" customHeight="false" outlineLevel="0" collapsed="false">
      <c r="A20" s="13"/>
      <c r="B20" s="10"/>
      <c r="C20" s="10"/>
      <c r="D20" s="10"/>
      <c r="E20" s="10"/>
      <c r="F20" s="10"/>
      <c r="G20" s="10"/>
    </row>
    <row r="21" customFormat="false" ht="15" hidden="false" customHeight="false" outlineLevel="0" collapsed="false">
      <c r="A21" s="13"/>
      <c r="B21" s="10"/>
      <c r="C21" s="10"/>
      <c r="D21" s="10"/>
      <c r="E21" s="10"/>
      <c r="F21" s="10"/>
      <c r="G21" s="10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0"/>
      <c r="G22" s="10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0"/>
      <c r="G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4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26" hidden="0" customWidth="1"/>
    <col min="2" max="2" width="1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</cols>
  <sheetData>
    <row r="1" ht="24" customHeight="1">
      <c r="A1" s="43" t="str">
        <v>Q9 - Points de fonction de QuickSort</v>
      </c>
      <c r="B1" s="42"/>
      <c r="C1" s="42"/>
      <c r="D1" s="42"/>
      <c r="E1" s="42"/>
      <c r="F1" s="42"/>
      <c r="G1" s="42"/>
      <c r="H1" s="42"/>
    </row>
    <row r="2" ht="24" customHeight="1">
      <c r="A2" s="42"/>
      <c r="B2" s="42"/>
      <c r="C2" s="42"/>
      <c r="D2" s="42"/>
      <c r="E2" s="42"/>
      <c r="F2" s="42"/>
      <c r="G2" s="42"/>
      <c r="H2" s="42"/>
    </row>
    <row r="3" ht="24" customHeight="1">
      <c r="A3" s="45" t="str">
        <v>Catégorie</v>
      </c>
      <c r="B3" s="45" t="str">
        <v>Poids</v>
      </c>
      <c r="C3" s="45"/>
      <c r="D3" s="45"/>
      <c r="E3" s="45" t="str">
        <v>Scores</v>
      </c>
      <c r="F3" s="45"/>
      <c r="G3" s="45"/>
      <c r="H3" s="45" t="str">
        <v>Total pondéré</v>
      </c>
    </row>
    <row r="4" ht="24" customHeight="1">
      <c r="A4" s="45"/>
      <c r="B4" s="45" t="str">
        <v>Simple</v>
      </c>
      <c r="C4" s="45" t="str">
        <v>Moyen</v>
      </c>
      <c r="D4" s="45" t="str">
        <v>Difficile</v>
      </c>
      <c r="E4" s="45" t="str">
        <v>Simple</v>
      </c>
      <c r="F4" s="45" t="str">
        <v>Moyen</v>
      </c>
      <c r="G4" s="45" t="str">
        <v>Difficile</v>
      </c>
      <c r="H4" s="45"/>
    </row>
    <row r="5" ht="24" customHeight="1">
      <c r="A5" s="42" t="str">
        <v>Entrées externes</v>
      </c>
      <c r="B5" s="47" t="n">
        <v>3</v>
      </c>
      <c r="C5" s="47" t="n">
        <v>4</v>
      </c>
      <c r="D5" s="47" t="n">
        <v>6</v>
      </c>
      <c r="E5" s="49" t="n">
        <v>1</v>
      </c>
      <c r="F5" s="49" t="n">
        <v>0</v>
      </c>
      <c r="G5" s="49" t="n">
        <v>0</v>
      </c>
      <c r="H5" s="47" t="n">
        <f>B5*E5+C5*F5+D5*G5</f>
        <v>3</v>
      </c>
    </row>
    <row r="6" ht="24" customHeight="1">
      <c r="A6" s="42" t="str">
        <v>Sorties externes</v>
      </c>
      <c r="B6" s="47" t="n">
        <v>4</v>
      </c>
      <c r="C6" s="47" t="n">
        <v>5</v>
      </c>
      <c r="D6" s="47" t="n">
        <v>7</v>
      </c>
      <c r="E6" s="49" t="n">
        <v>1</v>
      </c>
      <c r="F6" s="49" t="n">
        <v>0</v>
      </c>
      <c r="G6" s="49" t="n">
        <v>0</v>
      </c>
      <c r="H6" s="47" t="n">
        <f>B6*E6+C6*F6+D6*G6</f>
        <v>4</v>
      </c>
    </row>
    <row r="7" ht="24" customHeight="1">
      <c r="A7" s="42" t="str">
        <v>Requêtes externes</v>
      </c>
      <c r="B7" s="47" t="n">
        <v>3</v>
      </c>
      <c r="C7" s="47" t="n">
        <v>4</v>
      </c>
      <c r="D7" s="47" t="n">
        <v>6</v>
      </c>
      <c r="E7" s="49" t="n">
        <v>0</v>
      </c>
      <c r="F7" s="49" t="n">
        <v>0</v>
      </c>
      <c r="G7" s="49" t="n">
        <v>0</v>
      </c>
      <c r="H7" s="47" t="n">
        <f>B7*E7+C7*F7+D7*G7</f>
        <v>0</v>
      </c>
    </row>
    <row r="8" ht="24" customHeight="1">
      <c r="A8" s="42" t="str">
        <v>Fichiers internes</v>
      </c>
      <c r="B8" s="47" t="n">
        <v>7</v>
      </c>
      <c r="C8" s="47" t="n">
        <v>10</v>
      </c>
      <c r="D8" s="47" t="n">
        <v>15</v>
      </c>
      <c r="E8" s="49" t="n">
        <v>0</v>
      </c>
      <c r="F8" s="49" t="n">
        <v>0</v>
      </c>
      <c r="G8" s="49" t="n">
        <v>0</v>
      </c>
      <c r="H8" s="47" t="n">
        <f>B8*E8+C8*F8+D8*G8</f>
        <v>0</v>
      </c>
    </row>
    <row r="9" ht="24" customHeight="1">
      <c r="A9" s="42" t="str">
        <v>Fichiers externes</v>
      </c>
      <c r="B9" s="47" t="n">
        <v>5</v>
      </c>
      <c r="C9" s="47" t="n">
        <v>7</v>
      </c>
      <c r="D9" s="47" t="n">
        <v>10</v>
      </c>
      <c r="E9" s="49" t="n">
        <v>0</v>
      </c>
      <c r="F9" s="49" t="n">
        <v>0</v>
      </c>
      <c r="G9" s="49" t="n">
        <v>0</v>
      </c>
      <c r="H9" s="47" t="n">
        <f>B9*E9+C9*F9+D9*G9</f>
        <v>0</v>
      </c>
    </row>
    <row r="10" ht="24" customHeight="1">
      <c r="A10" s="45" t="str">
        <v>UFC</v>
      </c>
      <c r="B10" s="48"/>
      <c r="C10" s="48"/>
      <c r="D10" s="48"/>
      <c r="E10" s="48"/>
      <c r="F10" s="48"/>
      <c r="G10" s="48"/>
      <c r="H10" s="48" t="n">
        <f>SUM(H5:H9)</f>
        <v>7</v>
      </c>
    </row>
    <row r="11" ht="24" customHeight="1">
      <c r="A11" s="42"/>
      <c r="B11" s="42"/>
      <c r="C11" s="42"/>
      <c r="D11" s="42"/>
      <c r="E11" s="42"/>
      <c r="F11" s="42"/>
      <c r="G11" s="42"/>
      <c r="H11" s="42"/>
    </row>
    <row r="12" ht="24" customHeight="1">
      <c r="A12" s="46" t="str">
        <v>Hypothèses et justification</v>
      </c>
      <c r="B12" s="42"/>
      <c r="C12" s="42"/>
      <c r="D12" s="42"/>
      <c r="E12" s="42"/>
      <c r="F12" s="42"/>
      <c r="G12" s="42"/>
      <c r="H12" s="42"/>
    </row>
    <row r="13" ht="34" customHeight="1">
      <c r="A13" s="50" t="str">
        <v>Périmètre : adaptation pédagogique au service de tri iqsort0(a, n), appelé depuis l’extérieur.</v>
      </c>
      <c r="B13" s="50"/>
      <c r="C13" s="50"/>
      <c r="D13" s="50"/>
      <c r="E13" s="50"/>
      <c r="F13" s="50"/>
      <c r="G13" s="50"/>
      <c r="H13" s="50"/>
    </row>
    <row r="14" ht="34" customHeight="1">
      <c r="A14" s="50" t="str">
        <v>Entrée simple : une demande de tri reçoit le tableau a et sa taille n. Les deux paramètres constituent une seule entrée.</v>
      </c>
      <c r="B14" s="50"/>
      <c r="C14" s="50"/>
      <c r="D14" s="50"/>
      <c r="E14" s="50"/>
      <c r="F14" s="50"/>
      <c r="G14" s="50"/>
      <c r="H14" s="50"/>
    </row>
    <row r="15" ht="34" customHeight="1">
      <c r="A15" s="50" t="str">
        <v>Sortie simple : le tableau trié est accessible à l’appelant après modification en place, même si la fonction est void.</v>
      </c>
      <c r="B15" s="50"/>
      <c r="C15" s="50"/>
      <c r="D15" s="50"/>
      <c r="E15" s="50"/>
      <c r="F15" s="50"/>
      <c r="G15" s="50"/>
      <c r="H15" s="50"/>
    </row>
    <row r="16" ht="34" customHeight="1">
      <c r="A16" s="50" t="str">
        <v>Requêtes externes : aucune consultation distincte du tri. Les comparaisons et appels récursifs sont internes au traitement.</v>
      </c>
      <c r="B16" s="50"/>
      <c r="C16" s="50"/>
      <c r="D16" s="50"/>
      <c r="E16" s="50"/>
      <c r="F16" s="50"/>
      <c r="G16" s="50"/>
      <c r="H16" s="50"/>
    </row>
    <row r="17" ht="34" customHeight="1">
      <c r="A17" s="50" t="str">
        <v>Fichiers internes et externes : aucun fichier ni groupe de données persistant dans le code étudié. Le tableau est en mémoire.</v>
      </c>
      <c r="B17" s="50"/>
      <c r="C17" s="50"/>
      <c r="D17" s="50"/>
      <c r="E17" s="50"/>
      <c r="F17" s="50"/>
      <c r="G17" s="50"/>
      <c r="H17" s="50"/>
    </row>
    <row r="18" ht="34" customHeight="1">
      <c r="A18" s="50" t="str">
        <v>Niveau simple retenu pour les échanges : une liste d’entiers et sa taille, sans format complexe. Ce choix ne mesure pas la difficulté du tri.</v>
      </c>
      <c r="B18" s="50"/>
      <c r="C18" s="50"/>
      <c r="D18" s="50"/>
      <c r="E18" s="50"/>
      <c r="F18" s="50"/>
      <c r="G18" s="50"/>
      <c r="H18" s="50"/>
    </row>
    <row r="19" ht="34" customHeight="1">
      <c r="A19" s="50" t="str">
        <v>Cette adaptation suppose que le tableau trié compte comme sortie du service. Ce n’est pas un décompte normalisé établi par le CM.</v>
      </c>
      <c r="B19" s="50"/>
      <c r="C19" s="50"/>
      <c r="D19" s="50"/>
      <c r="E19" s="50"/>
      <c r="F19" s="50"/>
      <c r="G19" s="50"/>
      <c r="H19" s="50"/>
    </row>
    <row r="20" ht="34" customHeight="1">
      <c r="A20" s="50" t="str">
        <v>Les poids sont conservés du CM ; les scores de son exemple sont remplacés par les nombres d’interactions retenus pour QuickSort.</v>
      </c>
      <c r="B20" s="50"/>
      <c r="C20" s="50"/>
      <c r="D20" s="50"/>
      <c r="E20" s="50"/>
      <c r="F20" s="50"/>
      <c r="G20" s="50"/>
      <c r="H20" s="50"/>
    </row>
    <row r="21" ht="34" customHeight="1">
      <c r="A21" s="50" t="str">
        <v>Sources : CM R5.A.08, « Méthode des points de fonction d’Albrecht », p. 46 ; TP Mesures logicielles, exercice 2, Q4 et Q9.</v>
      </c>
      <c r="B21" s="50"/>
      <c r="C21" s="50"/>
      <c r="D21" s="50"/>
      <c r="E21" s="50"/>
      <c r="F21" s="50"/>
      <c r="G21" s="50"/>
      <c r="H21" s="50"/>
    </row>
  </sheetData>
  <mergeCells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2026-09-28T13:17:57Z</dcterms:created>
  <dc:creator>RIBBE Jules</dc:creator>
  <dc:description/>
  <dc:language>fr-FR</dc:language>
  <cp:lastModifiedBy/>
  <dcterms:modified xsi:type="dcterms:W3CDTF">2026-09-28T17:02:16Z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