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/Users/pgp_667/Developer/GitHub/Ribbe-Torchin-Mejean-mesures/"/>
    </mc:Choice>
  </mc:AlternateContent>
  <xr:revisionPtr revIDLastSave="0" documentId="13_ncr:1_{9A68249C-CE1A-184F-9AA8-C648AD024773}" xr6:coauthVersionLast="47" xr6:coauthVersionMax="47" xr10:uidLastSave="{00000000-0000-0000-0000-000000000000}"/>
  <bookViews>
    <workbookView xWindow="1240" yWindow="600" windowWidth="27560" windowHeight="17400" tabRatio="500" activeTab="4" xr2:uid="{00000000-000D-0000-FFFF-FFFF00000000}"/>
  </bookViews>
  <sheets>
    <sheet name="Halstead" sheetId="1" r:id="rId1"/>
    <sheet name="LOC" sheetId="2" r:id="rId2"/>
    <sheet name="CC" sheetId="3" r:id="rId3"/>
    <sheet name="UFC-Q8" sheetId="4" r:id="rId4"/>
    <sheet name="UFC-Q9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5" i="5" l="1"/>
  <c r="H6" i="5"/>
  <c r="H7" i="5"/>
  <c r="H8" i="5"/>
  <c r="H9" i="5"/>
  <c r="H10" i="5"/>
  <c r="B4" i="3"/>
  <c r="B21" i="1"/>
  <c r="D14" i="1"/>
  <c r="B18" i="1" s="1"/>
  <c r="B20" i="1" s="1"/>
  <c r="B14" i="1"/>
  <c r="B19" i="1" s="1"/>
  <c r="D12" i="1"/>
  <c r="B12" i="1"/>
  <c r="B20" i="4"/>
  <c r="B22" i="1" l="1"/>
</calcChain>
</file>

<file path=xl/sharedStrings.xml><?xml version="1.0" encoding="utf-8"?>
<sst xmlns="http://schemas.openxmlformats.org/spreadsheetml/2006/main" count="89" uniqueCount="68">
  <si>
    <t>Opérateurs</t>
  </si>
  <si>
    <t>Occurrences</t>
  </si>
  <si>
    <t>Opérandes</t>
  </si>
  <si>
    <t>void (déclaration de fonction)</t>
  </si>
  <si>
    <t>a</t>
  </si>
  <si>
    <t>if</t>
  </si>
  <si>
    <t>n</t>
  </si>
  <si>
    <t xml:space="preserve">&lt;= </t>
  </si>
  <si>
    <t>i</t>
  </si>
  <si>
    <t>return</t>
  </si>
  <si>
    <t>j</t>
  </si>
  <si>
    <t>for</t>
  </si>
  <si>
    <t>=</t>
  </si>
  <si>
    <t>&lt;</t>
  </si>
  <si>
    <t>swap()</t>
  </si>
  <si>
    <t>++</t>
  </si>
  <si>
    <t>iqsort0</t>
  </si>
  <si>
    <t>+</t>
  </si>
  <si>
    <t>-</t>
  </si>
  <si>
    <t>Nt =</t>
  </si>
  <si>
    <t>nd =</t>
  </si>
  <si>
    <t>Nombre total d’occurences Opérateur</t>
  </si>
  <si>
    <t>Nombre total d’Opérandes distinct</t>
  </si>
  <si>
    <t>nt =</t>
  </si>
  <si>
    <t>Nd =</t>
  </si>
  <si>
    <t>Nombre d’Opérateur distinct</t>
  </si>
  <si>
    <t>Nombre total d’occurences d’Opérandes</t>
  </si>
  <si>
    <t>Formules</t>
  </si>
  <si>
    <t>Total</t>
  </si>
  <si>
    <t>N = Nt + Nd</t>
  </si>
  <si>
    <t>n = nt + nd</t>
  </si>
  <si>
    <r>
      <rPr>
        <sz val="12"/>
        <color theme="1"/>
        <rFont val="Aptos Narrow"/>
        <family val="2"/>
        <charset val="1"/>
      </rPr>
      <t>Volume = N * log</t>
    </r>
    <r>
      <rPr>
        <vertAlign val="subscript"/>
        <sz val="12"/>
        <color theme="1"/>
        <rFont val="Aptos Narrow"/>
        <family val="2"/>
        <charset val="1"/>
      </rPr>
      <t>2</t>
    </r>
    <r>
      <rPr>
        <sz val="12"/>
        <color theme="1"/>
        <rFont val="Aptos Narrow"/>
        <family val="2"/>
        <charset val="1"/>
      </rPr>
      <t>(n)</t>
    </r>
  </si>
  <si>
    <t>Difficulté = (nt /2) * (Nd / nd)</t>
  </si>
  <si>
    <t>Effort = Difficulté * Volume</t>
  </si>
  <si>
    <t>Lignes</t>
  </si>
  <si>
    <t xml:space="preserve">Élément </t>
  </si>
  <si>
    <t>Valeurs</t>
  </si>
  <si>
    <t>Nombre de nœuds (N) :</t>
  </si>
  <si>
    <t>Nombre d’arêtes (E) :</t>
  </si>
  <si>
    <t>Calcul : 
(CC = [E – N] +2)</t>
  </si>
  <si>
    <t>Tableau des poids</t>
  </si>
  <si>
    <t>Catégorie</t>
  </si>
  <si>
    <t>Simple</t>
  </si>
  <si>
    <t>Moyen</t>
  </si>
  <si>
    <t>Difficile</t>
  </si>
  <si>
    <t>Entrées externes</t>
  </si>
  <si>
    <t>Sorties externes</t>
  </si>
  <si>
    <t>Requete externes</t>
  </si>
  <si>
    <t>Fichiers internes</t>
  </si>
  <si>
    <t>Fichiers externes</t>
  </si>
  <si>
    <t>Tableau des scores</t>
  </si>
  <si>
    <r>
      <rPr>
        <sz val="12"/>
        <color theme="1"/>
        <rFont val="Aptos Narrow"/>
        <family val="2"/>
        <charset val="1"/>
      </rPr>
      <t xml:space="preserve">Formule UFC score :
</t>
    </r>
    <r>
      <rPr>
        <sz val="9"/>
        <color theme="1"/>
        <rFont val="Aptos Narrow"/>
        <family val="2"/>
        <charset val="1"/>
      </rPr>
      <t xml:space="preserve">(use de SOMMEPROD) </t>
    </r>
  </si>
  <si>
    <t>Sources : CM R5.A.08, « Méthode des points de fonction d’Albrecht », p. 46 ; TP Mesures logicielles, exercice 2, Q4 et Q9.</t>
  </si>
  <si>
    <t>Les poids sont conservés du CM ; les scores de son exemple sont remplacés par les nombres d’interactions retenus pour QuickSort.</t>
  </si>
  <si>
    <t>Cette adaptation suppose que le tableau trié compte comme sortie du service. Ce n’est pas un décompte normalisé établi par le CM.</t>
  </si>
  <si>
    <t>Niveau simple retenu pour les échanges : une liste d’entiers et sa taille, sans format complexe. Ce choix ne mesure pas la difficulté du tri.</t>
  </si>
  <si>
    <t>Fichiers internes et externes : aucun fichier ni groupe de données persistant dans le code étudié. Le tableau est en mémoire.</t>
  </si>
  <si>
    <t>Requêtes externes : aucune consultation distincte du tri. Les comparaisons et appels récursifs sont internes au traitement.</t>
  </si>
  <si>
    <t>Sortie simple : le tableau trié est accessible à l’appelant après modification en place, même si la fonction est void.</t>
  </si>
  <si>
    <t>Entrée simple : une demande de tri reçoit le tableau a et sa taille n. Les deux paramètres constituent une seule entrée.</t>
  </si>
  <si>
    <t>Périmètre : adaptation pédagogique au service de tri iqsort0(a, n), appelé depuis l’extérieur.</t>
  </si>
  <si>
    <t>Hypothèses et justification</t>
  </si>
  <si>
    <t>UFC</t>
  </si>
  <si>
    <t>Requêtes externes</t>
  </si>
  <si>
    <t>Total pondéré</t>
  </si>
  <si>
    <t>Scores</t>
  </si>
  <si>
    <t>Poids</t>
  </si>
  <si>
    <t>Q9 - Points de fonction de QuickSort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</si>
</sst>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2"/>
      <color theme="1"/>
      <name val="Aptos Narrow"/>
      <family val="2"/>
      <charset val="1"/>
    </font>
    <font>
      <i/>
      <sz val="12"/>
      <color theme="1"/>
      <name val="Aptos Narrow"/>
      <family val="2"/>
      <charset val="1"/>
    </font>
    <font>
      <vertAlign val="subscript"/>
      <sz val="12"/>
      <color theme="1"/>
      <name val="Aptos Narrow"/>
      <family val="2"/>
      <charset val="1"/>
    </font>
    <font>
      <b/>
      <sz val="15"/>
      <color theme="1"/>
      <name val="Times New Roman"/>
      <family val="1"/>
      <charset val="1"/>
    </font>
    <font>
      <sz val="13"/>
      <color theme="1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20"/>
      <color theme="1"/>
      <name val="Aptos Narrow"/>
      <family val="2"/>
      <charset val="1"/>
    </font>
    <font>
      <sz val="12"/>
      <color theme="1"/>
      <name val="Aptos Narrow"/>
      <family val="2"/>
    </font>
    <font>
      <sz val="9"/>
      <color theme="1"/>
      <name val="Aptos Narrow"/>
      <family val="2"/>
      <charset val="1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4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E7E6E6"/>
      </patternFill>
    </fill>
    <fill>
      <patternFill patternType="solid">
        <fgColor rgb="FFFFF2CC"/>
      </patternFill>
    </fill>
  </fills>
  <borders count="4">
    <border>
      <left/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6" fillId="0" borderId="0" xfId="0" applyFont="1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1" fillId="0" borderId="0" xfId="0" applyFont="1" applyAlignment="1">
      <alignment horizontal="right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 vertical="center"/>
    </xf>
    <xf numFmtId="0" fontId="5" fillId="0" borderId="0" xfId="0" applyFont="1"/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9" fillId="0" borderId="0" xfId="0" applyFont="1" applyAlignment="1">
      <alignment wrapText="1"/>
    </xf>
    <xf numFmtId="0" fontId="9" fillId="0" borderId="0" xfId="0" applyFont="1"/>
    <xf numFmtId="0" fontId="10" fillId="0" borderId="0" xfId="0" applyFont="1"/>
    <xf numFmtId="1" fontId="10" fillId="2" borderId="0" xfId="0" applyNumberFormat="1" applyFont="1" applyFill="1"/>
    <xf numFmtId="0" fontId="10" fillId="2" borderId="0" xfId="0" applyFont="1" applyFill="1"/>
    <xf numFmtId="1" fontId="9" fillId="0" borderId="0" xfId="0" applyNumberFormat="1" applyFont="1"/>
    <xf numFmtId="1" fontId="9" fillId="3" borderId="0" xfId="0" applyNumberFormat="1" applyFont="1" applyFill="1"/>
    <xf numFmtId="0" fontId="1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2"/>
  <sheetViews>
    <sheetView topLeftCell="A10" zoomScale="130" zoomScaleNormal="130" workbookViewId="0">
      <selection activeCell="C22" sqref="C22"/>
    </sheetView>
  </sheetViews>
  <sheetFormatPr baseColWidth="10" defaultColWidth="11.6640625" defaultRowHeight="16" x14ac:dyDescent="0.2"/>
  <cols>
    <col min="1" max="1" width="31.33203125" customWidth="1"/>
    <col min="3" max="3" width="33.5" customWidth="1"/>
  </cols>
  <sheetData>
    <row r="1" spans="1:5" x14ac:dyDescent="0.2">
      <c r="A1" t="s">
        <v>0</v>
      </c>
      <c r="B1" t="s">
        <v>1</v>
      </c>
      <c r="D1" t="s">
        <v>2</v>
      </c>
      <c r="E1" t="s">
        <v>1</v>
      </c>
    </row>
    <row r="2" spans="1:5" x14ac:dyDescent="0.2">
      <c r="A2" t="s">
        <v>3</v>
      </c>
      <c r="B2">
        <v>1</v>
      </c>
      <c r="D2" s="2" t="s">
        <v>4</v>
      </c>
      <c r="E2">
        <v>7</v>
      </c>
    </row>
    <row r="3" spans="1:5" x14ac:dyDescent="0.2">
      <c r="A3" t="s">
        <v>5</v>
      </c>
      <c r="B3">
        <v>2</v>
      </c>
      <c r="D3" s="2" t="s">
        <v>6</v>
      </c>
      <c r="E3">
        <v>4</v>
      </c>
    </row>
    <row r="4" spans="1:5" x14ac:dyDescent="0.2">
      <c r="A4" t="s">
        <v>7</v>
      </c>
      <c r="B4">
        <v>1</v>
      </c>
      <c r="D4" s="2" t="s">
        <v>8</v>
      </c>
      <c r="E4">
        <v>6</v>
      </c>
    </row>
    <row r="5" spans="1:5" x14ac:dyDescent="0.2">
      <c r="A5" t="s">
        <v>9</v>
      </c>
      <c r="B5">
        <v>1</v>
      </c>
      <c r="D5" s="2" t="s">
        <v>10</v>
      </c>
      <c r="E5">
        <v>7</v>
      </c>
    </row>
    <row r="6" spans="1:5" x14ac:dyDescent="0.2">
      <c r="A6" t="s">
        <v>11</v>
      </c>
      <c r="B6">
        <v>1</v>
      </c>
      <c r="D6" s="2">
        <v>0</v>
      </c>
      <c r="E6">
        <v>3</v>
      </c>
    </row>
    <row r="7" spans="1:5" x14ac:dyDescent="0.2">
      <c r="A7" t="s">
        <v>12</v>
      </c>
      <c r="B7">
        <v>2</v>
      </c>
      <c r="D7" s="2">
        <v>1</v>
      </c>
      <c r="E7">
        <v>4</v>
      </c>
    </row>
    <row r="8" spans="1:5" x14ac:dyDescent="0.2">
      <c r="A8" t="s">
        <v>13</v>
      </c>
      <c r="B8">
        <v>2</v>
      </c>
      <c r="D8" s="2" t="s">
        <v>14</v>
      </c>
      <c r="E8">
        <v>2</v>
      </c>
    </row>
    <row r="9" spans="1:5" x14ac:dyDescent="0.2">
      <c r="A9" t="s">
        <v>15</v>
      </c>
      <c r="B9">
        <v>2</v>
      </c>
      <c r="D9" s="2" t="s">
        <v>16</v>
      </c>
      <c r="E9">
        <v>2</v>
      </c>
    </row>
    <row r="10" spans="1:5" x14ac:dyDescent="0.2">
      <c r="A10" t="s">
        <v>17</v>
      </c>
      <c r="B10">
        <v>2</v>
      </c>
    </row>
    <row r="11" spans="1:5" x14ac:dyDescent="0.2">
      <c r="A11" t="s">
        <v>18</v>
      </c>
      <c r="B11">
        <v>2</v>
      </c>
    </row>
    <row r="12" spans="1:5" x14ac:dyDescent="0.2">
      <c r="A12" s="3" t="s">
        <v>19</v>
      </c>
      <c r="B12" s="2">
        <f>SUM(B2:B11)</f>
        <v>16</v>
      </c>
      <c r="C12" s="3" t="s">
        <v>20</v>
      </c>
      <c r="D12" s="2">
        <f>ROWS(D2:D9)</f>
        <v>8</v>
      </c>
    </row>
    <row r="13" spans="1:5" x14ac:dyDescent="0.2">
      <c r="A13" s="4" t="s">
        <v>21</v>
      </c>
      <c r="C13" t="s">
        <v>22</v>
      </c>
    </row>
    <row r="14" spans="1:5" x14ac:dyDescent="0.2">
      <c r="A14" s="3" t="s">
        <v>23</v>
      </c>
      <c r="B14" s="2">
        <f>ROWS(B2:B11)</f>
        <v>10</v>
      </c>
      <c r="C14" s="3" t="s">
        <v>24</v>
      </c>
      <c r="D14" s="2">
        <f>SUM(E2:E9)</f>
        <v>35</v>
      </c>
    </row>
    <row r="15" spans="1:5" x14ac:dyDescent="0.2">
      <c r="A15" t="s">
        <v>25</v>
      </c>
      <c r="C15" t="s">
        <v>26</v>
      </c>
    </row>
    <row r="17" spans="1:2" x14ac:dyDescent="0.2">
      <c r="A17" t="s">
        <v>27</v>
      </c>
      <c r="B17" t="s">
        <v>28</v>
      </c>
    </row>
    <row r="18" spans="1:2" x14ac:dyDescent="0.2">
      <c r="A18" t="s">
        <v>29</v>
      </c>
      <c r="B18">
        <f>B12+D14</f>
        <v>51</v>
      </c>
    </row>
    <row r="19" spans="1:2" x14ac:dyDescent="0.2">
      <c r="A19" t="s">
        <v>30</v>
      </c>
      <c r="B19">
        <f>B14+D12</f>
        <v>18</v>
      </c>
    </row>
    <row r="20" spans="1:2" ht="18" x14ac:dyDescent="0.25">
      <c r="A20" t="s">
        <v>31</v>
      </c>
      <c r="B20">
        <f>B18*LOG(B19,2)</f>
        <v>212.66617507355792</v>
      </c>
    </row>
    <row r="21" spans="1:2" x14ac:dyDescent="0.2">
      <c r="A21" t="s">
        <v>32</v>
      </c>
      <c r="B21">
        <f>(B14/2)*(D14/D12)</f>
        <v>21.875</v>
      </c>
    </row>
    <row r="22" spans="1:2" x14ac:dyDescent="0.2">
      <c r="A22" t="s">
        <v>33</v>
      </c>
      <c r="B22">
        <f>B21*B20</f>
        <v>4652.0725797340792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Roman,Normal"&amp;Kffffff&amp;A</oddHeader>
    <oddFooter>&amp;C&amp;"Times New Roman,Normal"&amp;KffffffPage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"/>
  <sheetViews>
    <sheetView zoomScale="130" zoomScaleNormal="130" workbookViewId="0">
      <selection activeCell="B1" sqref="B1"/>
    </sheetView>
  </sheetViews>
  <sheetFormatPr baseColWidth="10" defaultColWidth="10.5" defaultRowHeight="16" x14ac:dyDescent="0.2"/>
  <sheetData>
    <row r="1" spans="1:2" x14ac:dyDescent="0.2">
      <c r="A1" t="s">
        <v>34</v>
      </c>
      <c r="B1">
        <v>920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3"/>
  <sheetViews>
    <sheetView zoomScale="130" zoomScaleNormal="130" workbookViewId="0">
      <selection activeCell="C8" sqref="C8"/>
    </sheetView>
  </sheetViews>
  <sheetFormatPr baseColWidth="10" defaultColWidth="11.6640625" defaultRowHeight="16" x14ac:dyDescent="0.2"/>
  <cols>
    <col min="1" max="1" width="23.83203125" customWidth="1"/>
    <col min="2" max="2" width="13" customWidth="1"/>
  </cols>
  <sheetData>
    <row r="1" spans="1:7" ht="19" x14ac:dyDescent="0.2">
      <c r="A1" s="5" t="s">
        <v>35</v>
      </c>
      <c r="B1" s="6" t="s">
        <v>36</v>
      </c>
    </row>
    <row r="2" spans="1:7" ht="27.5" customHeight="1" x14ac:dyDescent="0.2">
      <c r="A2" s="7" t="s">
        <v>37</v>
      </c>
      <c r="B2" s="8">
        <v>12</v>
      </c>
      <c r="C2" s="8"/>
      <c r="D2" s="8"/>
      <c r="E2" s="8"/>
      <c r="F2" s="8"/>
      <c r="G2" s="8"/>
    </row>
    <row r="3" spans="1:7" ht="31.5" customHeight="1" x14ac:dyDescent="0.2">
      <c r="A3" s="9" t="s">
        <v>38</v>
      </c>
      <c r="B3" s="8">
        <v>14</v>
      </c>
      <c r="C3" s="8"/>
      <c r="D3" s="8"/>
      <c r="E3" s="8"/>
      <c r="F3" s="8"/>
      <c r="G3" s="8"/>
    </row>
    <row r="4" spans="1:7" ht="34.5" customHeight="1" x14ac:dyDescent="0.2">
      <c r="A4" s="10" t="s">
        <v>39</v>
      </c>
      <c r="B4" s="8">
        <f>B3 - B2 + 2</f>
        <v>4</v>
      </c>
      <c r="C4" s="8"/>
      <c r="D4" s="8"/>
      <c r="E4" s="8"/>
      <c r="F4" s="8"/>
      <c r="G4" s="8"/>
    </row>
    <row r="5" spans="1:7" x14ac:dyDescent="0.2">
      <c r="A5" s="11"/>
      <c r="B5" s="8"/>
      <c r="C5" s="8"/>
      <c r="D5" s="8"/>
      <c r="E5" s="8"/>
      <c r="F5" s="8"/>
      <c r="G5" s="8"/>
    </row>
    <row r="6" spans="1:7" x14ac:dyDescent="0.2">
      <c r="A6" s="11"/>
      <c r="B6" s="8"/>
      <c r="C6" s="8"/>
      <c r="D6" s="8"/>
      <c r="E6" s="8"/>
      <c r="F6" s="8"/>
      <c r="G6" s="8"/>
    </row>
    <row r="7" spans="1:7" x14ac:dyDescent="0.2">
      <c r="A7" s="11"/>
      <c r="B7" s="8"/>
      <c r="C7" s="8"/>
      <c r="D7" s="8"/>
      <c r="E7" s="8"/>
      <c r="F7" s="8"/>
      <c r="G7" s="8"/>
    </row>
    <row r="8" spans="1:7" x14ac:dyDescent="0.2">
      <c r="A8" s="11"/>
      <c r="B8" s="8"/>
      <c r="C8" s="8"/>
      <c r="D8" s="8"/>
      <c r="E8" s="8"/>
      <c r="F8" s="8"/>
      <c r="G8" s="8"/>
    </row>
    <row r="9" spans="1:7" x14ac:dyDescent="0.2">
      <c r="A9" s="11"/>
      <c r="B9" s="8"/>
      <c r="C9" s="8"/>
      <c r="D9" s="8"/>
      <c r="E9" s="8"/>
      <c r="F9" s="8"/>
      <c r="G9" s="8"/>
    </row>
    <row r="10" spans="1:7" x14ac:dyDescent="0.2">
      <c r="A10" s="11"/>
      <c r="B10" s="8"/>
      <c r="C10" s="8"/>
      <c r="D10" s="8"/>
      <c r="E10" s="8"/>
      <c r="F10" s="8"/>
      <c r="G10" s="8"/>
    </row>
    <row r="11" spans="1:7" x14ac:dyDescent="0.2">
      <c r="A11" s="11"/>
      <c r="B11" s="8"/>
      <c r="C11" s="8"/>
      <c r="D11" s="8"/>
      <c r="E11" s="8"/>
      <c r="F11" s="8"/>
      <c r="G11" s="8"/>
    </row>
    <row r="12" spans="1:7" x14ac:dyDescent="0.2">
      <c r="A12" s="11"/>
      <c r="B12" s="8"/>
      <c r="C12" s="8"/>
      <c r="D12" s="8"/>
      <c r="E12" s="8"/>
      <c r="F12" s="8"/>
      <c r="G12" s="8"/>
    </row>
    <row r="13" spans="1:7" x14ac:dyDescent="0.2">
      <c r="A13" s="11"/>
      <c r="B13" s="8"/>
      <c r="C13" s="8"/>
      <c r="D13" s="8"/>
      <c r="E13" s="8"/>
      <c r="F13" s="8"/>
      <c r="G13" s="8"/>
    </row>
    <row r="14" spans="1:7" x14ac:dyDescent="0.2">
      <c r="A14" s="11"/>
      <c r="B14" s="8"/>
      <c r="C14" s="8"/>
      <c r="D14" s="8"/>
      <c r="E14" s="8"/>
      <c r="F14" s="8"/>
      <c r="G14" s="8"/>
    </row>
    <row r="15" spans="1:7" x14ac:dyDescent="0.2">
      <c r="A15" s="11"/>
      <c r="B15" s="8"/>
      <c r="C15" s="8"/>
      <c r="D15" s="8"/>
      <c r="E15" s="8"/>
      <c r="F15" s="8"/>
      <c r="G15" s="8"/>
    </row>
    <row r="16" spans="1:7" x14ac:dyDescent="0.2">
      <c r="A16" s="11"/>
      <c r="B16" s="8"/>
      <c r="C16" s="8"/>
      <c r="D16" s="8"/>
      <c r="E16" s="8"/>
      <c r="F16" s="8"/>
      <c r="G16" s="8"/>
    </row>
    <row r="17" spans="1:7" x14ac:dyDescent="0.2">
      <c r="A17" s="11"/>
      <c r="B17" s="8"/>
      <c r="C17" s="8"/>
      <c r="D17" s="8"/>
      <c r="E17" s="8"/>
      <c r="F17" s="8"/>
      <c r="G17" s="8"/>
    </row>
    <row r="18" spans="1:7" x14ac:dyDescent="0.2">
      <c r="A18" s="11"/>
      <c r="B18" s="8"/>
      <c r="C18" s="8"/>
      <c r="D18" s="8"/>
      <c r="E18" s="8"/>
      <c r="F18" s="8"/>
      <c r="G18" s="8"/>
    </row>
    <row r="19" spans="1:7" x14ac:dyDescent="0.2">
      <c r="A19" s="11"/>
      <c r="B19" s="8"/>
      <c r="C19" s="8"/>
      <c r="D19" s="8"/>
      <c r="E19" s="8"/>
      <c r="F19" s="8"/>
      <c r="G19" s="8"/>
    </row>
    <row r="20" spans="1:7" x14ac:dyDescent="0.2">
      <c r="A20" s="11"/>
      <c r="B20" s="8"/>
      <c r="C20" s="8"/>
      <c r="D20" s="8"/>
      <c r="E20" s="8"/>
      <c r="F20" s="8"/>
      <c r="G20" s="8"/>
    </row>
    <row r="21" spans="1:7" x14ac:dyDescent="0.2">
      <c r="A21" s="11"/>
      <c r="B21" s="8"/>
      <c r="C21" s="8"/>
      <c r="D21" s="8"/>
      <c r="E21" s="8"/>
      <c r="F21" s="8"/>
      <c r="G21" s="8"/>
    </row>
    <row r="22" spans="1:7" x14ac:dyDescent="0.2">
      <c r="A22" s="8"/>
      <c r="B22" s="8"/>
      <c r="C22" s="8"/>
      <c r="D22" s="8"/>
      <c r="E22" s="8"/>
      <c r="F22" s="8"/>
      <c r="G22" s="8"/>
    </row>
    <row r="23" spans="1:7" x14ac:dyDescent="0.2">
      <c r="A23" s="8"/>
      <c r="B23" s="8"/>
      <c r="C23" s="8"/>
      <c r="D23" s="8"/>
      <c r="E23" s="8"/>
      <c r="F23" s="8"/>
      <c r="G23" s="8"/>
    </row>
    <row r="24" spans="1:7" x14ac:dyDescent="0.2">
      <c r="A24" s="8"/>
      <c r="B24" s="8"/>
      <c r="C24" s="8"/>
      <c r="D24" s="8"/>
      <c r="E24" s="8"/>
      <c r="F24" s="8"/>
      <c r="G24" s="8"/>
    </row>
    <row r="25" spans="1:7" x14ac:dyDescent="0.2">
      <c r="A25" s="8"/>
      <c r="B25" s="8"/>
      <c r="C25" s="8"/>
      <c r="D25" s="8"/>
      <c r="E25" s="8"/>
      <c r="F25" s="8"/>
      <c r="G25" s="8"/>
    </row>
    <row r="26" spans="1:7" x14ac:dyDescent="0.2">
      <c r="A26" s="8"/>
      <c r="B26" s="8"/>
      <c r="C26" s="8"/>
      <c r="D26" s="8"/>
      <c r="E26" s="8"/>
      <c r="F26" s="8"/>
      <c r="G26" s="8"/>
    </row>
    <row r="27" spans="1:7" x14ac:dyDescent="0.2">
      <c r="A27" s="8"/>
      <c r="B27" s="8"/>
      <c r="C27" s="8"/>
      <c r="D27" s="8"/>
      <c r="E27" s="8"/>
      <c r="F27" s="8"/>
      <c r="G27" s="8"/>
    </row>
    <row r="28" spans="1:7" x14ac:dyDescent="0.2">
      <c r="A28" s="8"/>
      <c r="B28" s="8"/>
      <c r="C28" s="8"/>
      <c r="D28" s="8"/>
      <c r="E28" s="8"/>
      <c r="F28" s="8"/>
      <c r="G28" s="8"/>
    </row>
    <row r="29" spans="1:7" x14ac:dyDescent="0.2">
      <c r="A29" s="8"/>
      <c r="B29" s="8"/>
      <c r="C29" s="8"/>
      <c r="D29" s="8"/>
      <c r="E29" s="8"/>
      <c r="F29" s="8"/>
      <c r="G29" s="8"/>
    </row>
    <row r="30" spans="1:7" x14ac:dyDescent="0.2">
      <c r="A30" s="8"/>
      <c r="B30" s="8"/>
      <c r="C30" s="8"/>
      <c r="D30" s="8"/>
      <c r="E30" s="8"/>
      <c r="F30" s="8"/>
      <c r="G30" s="8"/>
    </row>
    <row r="31" spans="1:7" x14ac:dyDescent="0.2">
      <c r="A31" s="8"/>
      <c r="B31" s="8"/>
      <c r="C31" s="8"/>
      <c r="D31" s="8"/>
      <c r="E31" s="8"/>
      <c r="F31" s="8"/>
      <c r="G31" s="8"/>
    </row>
    <row r="32" spans="1:7" x14ac:dyDescent="0.2">
      <c r="A32" s="8"/>
      <c r="B32" s="8"/>
      <c r="C32" s="8"/>
      <c r="D32" s="8"/>
      <c r="E32" s="8"/>
      <c r="F32" s="8"/>
      <c r="G32" s="8"/>
    </row>
    <row r="33" spans="1:7" x14ac:dyDescent="0.2">
      <c r="A33" s="8"/>
      <c r="B33" s="8"/>
      <c r="C33" s="8"/>
      <c r="D33" s="8"/>
      <c r="E33" s="8"/>
      <c r="F33" s="8"/>
      <c r="G33" s="8"/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Roman,Normal"&amp;Kffffff&amp;A</oddHeader>
    <oddFooter>&amp;C&amp;"Times New Roman,Normal"&amp;KffffffPage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1"/>
  <sheetViews>
    <sheetView zoomScale="130" zoomScaleNormal="130" workbookViewId="0">
      <selection activeCell="E23" sqref="E23"/>
    </sheetView>
  </sheetViews>
  <sheetFormatPr baseColWidth="10" defaultColWidth="11.6640625" defaultRowHeight="16" x14ac:dyDescent="0.2"/>
  <cols>
    <col min="1" max="1" width="17.6640625" customWidth="1"/>
  </cols>
  <sheetData>
    <row r="1" spans="1:4" ht="35.25" customHeight="1" x14ac:dyDescent="0.2">
      <c r="A1" s="1" t="s">
        <v>40</v>
      </c>
      <c r="B1" s="1"/>
    </row>
    <row r="2" spans="1:4" ht="20.25" customHeight="1" x14ac:dyDescent="0.2">
      <c r="A2" s="12" t="s">
        <v>41</v>
      </c>
      <c r="B2" s="13" t="s">
        <v>42</v>
      </c>
      <c r="C2" s="13" t="s">
        <v>43</v>
      </c>
      <c r="D2" s="13" t="s">
        <v>44</v>
      </c>
    </row>
    <row r="3" spans="1:4" ht="19.25" customHeight="1" x14ac:dyDescent="0.2">
      <c r="A3" s="14" t="s">
        <v>45</v>
      </c>
      <c r="B3">
        <v>3</v>
      </c>
      <c r="C3">
        <v>4</v>
      </c>
      <c r="D3">
        <v>6</v>
      </c>
    </row>
    <row r="4" spans="1:4" ht="20" customHeight="1" x14ac:dyDescent="0.2">
      <c r="A4" s="15" t="s">
        <v>46</v>
      </c>
      <c r="B4">
        <v>4</v>
      </c>
      <c r="C4">
        <v>5</v>
      </c>
      <c r="D4">
        <v>7</v>
      </c>
    </row>
    <row r="5" spans="1:4" ht="20" customHeight="1" x14ac:dyDescent="0.2">
      <c r="A5" s="15" t="s">
        <v>47</v>
      </c>
      <c r="B5">
        <v>3</v>
      </c>
      <c r="C5">
        <v>4</v>
      </c>
      <c r="D5">
        <v>6</v>
      </c>
    </row>
    <row r="6" spans="1:4" ht="22.25" customHeight="1" x14ac:dyDescent="0.2">
      <c r="A6" s="14" t="s">
        <v>48</v>
      </c>
      <c r="B6">
        <v>7</v>
      </c>
      <c r="C6">
        <v>10</v>
      </c>
      <c r="D6">
        <v>15</v>
      </c>
    </row>
    <row r="7" spans="1:4" ht="22.25" customHeight="1" x14ac:dyDescent="0.2">
      <c r="A7" s="15" t="s">
        <v>49</v>
      </c>
      <c r="B7">
        <v>5</v>
      </c>
      <c r="C7">
        <v>7</v>
      </c>
      <c r="D7">
        <v>10</v>
      </c>
    </row>
    <row r="10" spans="1:4" ht="32.75" customHeight="1" x14ac:dyDescent="0.2">
      <c r="A10" s="1" t="s">
        <v>50</v>
      </c>
      <c r="B10" s="1"/>
    </row>
    <row r="11" spans="1:4" x14ac:dyDescent="0.2">
      <c r="A11" s="12" t="s">
        <v>41</v>
      </c>
      <c r="B11" s="13" t="s">
        <v>42</v>
      </c>
      <c r="C11" s="13" t="s">
        <v>43</v>
      </c>
      <c r="D11" s="13" t="s">
        <v>44</v>
      </c>
    </row>
    <row r="12" spans="1:4" ht="18" customHeight="1" x14ac:dyDescent="0.2">
      <c r="A12" s="14" t="s">
        <v>45</v>
      </c>
      <c r="B12">
        <v>4</v>
      </c>
      <c r="C12">
        <v>3</v>
      </c>
      <c r="D12">
        <v>1</v>
      </c>
    </row>
    <row r="13" spans="1:4" ht="18.5" customHeight="1" x14ac:dyDescent="0.2">
      <c r="A13" s="15" t="s">
        <v>46</v>
      </c>
      <c r="B13">
        <v>0</v>
      </c>
      <c r="C13">
        <v>2</v>
      </c>
      <c r="D13">
        <v>1</v>
      </c>
    </row>
    <row r="14" spans="1:4" ht="19.25" customHeight="1" x14ac:dyDescent="0.2">
      <c r="A14" s="15" t="s">
        <v>47</v>
      </c>
      <c r="B14">
        <v>7</v>
      </c>
      <c r="C14">
        <v>0</v>
      </c>
      <c r="D14">
        <v>0</v>
      </c>
    </row>
    <row r="15" spans="1:4" ht="19.25" customHeight="1" x14ac:dyDescent="0.2">
      <c r="A15" s="14" t="s">
        <v>48</v>
      </c>
      <c r="B15">
        <v>3</v>
      </c>
      <c r="C15">
        <v>0</v>
      </c>
      <c r="D15">
        <v>0</v>
      </c>
    </row>
    <row r="16" spans="1:4" ht="18" customHeight="1" x14ac:dyDescent="0.2">
      <c r="A16" s="15" t="s">
        <v>49</v>
      </c>
      <c r="B16">
        <v>0</v>
      </c>
      <c r="C16">
        <v>5</v>
      </c>
      <c r="D16">
        <v>2</v>
      </c>
    </row>
    <row r="17" spans="1:4" ht="8.5" customHeight="1" x14ac:dyDescent="0.2">
      <c r="A17" s="16"/>
      <c r="B17" s="16"/>
      <c r="C17" s="16"/>
      <c r="D17" s="16"/>
    </row>
    <row r="18" spans="1:4" ht="8" customHeight="1" x14ac:dyDescent="0.2"/>
    <row r="19" spans="1:4" ht="8" customHeight="1" x14ac:dyDescent="0.2"/>
    <row r="20" spans="1:4" ht="33" customHeight="1" x14ac:dyDescent="0.2">
      <c r="A20" s="17" t="s">
        <v>51</v>
      </c>
      <c r="B20">
        <f>SUMPRODUCT(B3:D7,B12:D16)</f>
        <v>144</v>
      </c>
    </row>
    <row r="21" spans="1:4" ht="27.25" customHeight="1" x14ac:dyDescent="0.2"/>
  </sheetData>
  <mergeCells count="2">
    <mergeCell ref="A1:B1"/>
    <mergeCell ref="A10:B10"/>
  </mergeCell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Roman,Normal"&amp;Kffffff&amp;A</oddHeader>
    <oddFooter>&amp;C&amp;"Times New Roman,Normal"&amp;KffffffPage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352DE-9660-4E41-A581-C68D69F6DA5E}">
  <dimension ref="A1:H21"/>
  <sheetViews>
    <sheetView showGridLines="0" tabSelected="1" workbookViewId="0"/>
  </sheetViews>
  <sheetFormatPr baseColWidth="10" defaultColWidth="8.83203125" defaultRowHeight="16" x14ac:dyDescent="0.2"/>
  <cols>
    <col min="1" max="1" width="26" customWidth="1"/>
    <col min="2" max="8" width="14" customWidth="1"/>
  </cols>
  <sheetData>
    <row r="1" spans="1:8" ht="24" customHeight="1" x14ac:dyDescent="0.2">
      <c r="A1" s="25" t="s">
        <v>67</v>
      </c>
      <c r="B1" s="19"/>
      <c r="C1" s="19"/>
      <c r="D1" s="19"/>
      <c r="E1" s="19"/>
      <c r="F1" s="19"/>
      <c r="G1" s="19"/>
      <c r="H1" s="19"/>
    </row>
    <row r="2" spans="1:8" ht="24" customHeight="1" x14ac:dyDescent="0.2">
      <c r="A2" s="19"/>
      <c r="B2" s="19"/>
      <c r="C2" s="19"/>
      <c r="D2" s="19"/>
      <c r="E2" s="19"/>
      <c r="F2" s="19"/>
      <c r="G2" s="19"/>
      <c r="H2" s="19"/>
    </row>
    <row r="3" spans="1:8" ht="24" customHeight="1" x14ac:dyDescent="0.2">
      <c r="A3" s="22" t="s">
        <v>41</v>
      </c>
      <c r="B3" s="22" t="s">
        <v>66</v>
      </c>
      <c r="C3" s="22"/>
      <c r="D3" s="22"/>
      <c r="E3" s="22" t="s">
        <v>65</v>
      </c>
      <c r="F3" s="22"/>
      <c r="G3" s="22"/>
      <c r="H3" s="22" t="s">
        <v>64</v>
      </c>
    </row>
    <row r="4" spans="1:8" ht="24" customHeight="1" x14ac:dyDescent="0.2">
      <c r="A4" s="22"/>
      <c r="B4" s="22" t="s">
        <v>42</v>
      </c>
      <c r="C4" s="22" t="s">
        <v>43</v>
      </c>
      <c r="D4" s="22" t="s">
        <v>44</v>
      </c>
      <c r="E4" s="22" t="s">
        <v>42</v>
      </c>
      <c r="F4" s="22" t="s">
        <v>43</v>
      </c>
      <c r="G4" s="22" t="s">
        <v>44</v>
      </c>
      <c r="H4" s="22"/>
    </row>
    <row r="5" spans="1:8" ht="24" customHeight="1" x14ac:dyDescent="0.2">
      <c r="A5" s="19" t="s">
        <v>45</v>
      </c>
      <c r="B5" s="23">
        <v>3</v>
      </c>
      <c r="C5" s="23">
        <v>4</v>
      </c>
      <c r="D5" s="23">
        <v>6</v>
      </c>
      <c r="E5" s="24">
        <v>1</v>
      </c>
      <c r="F5" s="24">
        <v>0</v>
      </c>
      <c r="G5" s="24">
        <v>0</v>
      </c>
      <c r="H5" s="23">
        <f>B5*E5+C5*F5+D5*G5</f>
        <v>3</v>
      </c>
    </row>
    <row r="6" spans="1:8" ht="24" customHeight="1" x14ac:dyDescent="0.2">
      <c r="A6" s="19" t="s">
        <v>46</v>
      </c>
      <c r="B6" s="23">
        <v>4</v>
      </c>
      <c r="C6" s="23">
        <v>5</v>
      </c>
      <c r="D6" s="23">
        <v>7</v>
      </c>
      <c r="E6" s="24">
        <v>1</v>
      </c>
      <c r="F6" s="24">
        <v>0</v>
      </c>
      <c r="G6" s="24">
        <v>0</v>
      </c>
      <c r="H6" s="23">
        <f>B6*E6+C6*F6+D6*G6</f>
        <v>4</v>
      </c>
    </row>
    <row r="7" spans="1:8" ht="24" customHeight="1" x14ac:dyDescent="0.2">
      <c r="A7" s="19" t="s">
        <v>63</v>
      </c>
      <c r="B7" s="23">
        <v>3</v>
      </c>
      <c r="C7" s="23">
        <v>4</v>
      </c>
      <c r="D7" s="23">
        <v>6</v>
      </c>
      <c r="E7" s="24">
        <v>0</v>
      </c>
      <c r="F7" s="24">
        <v>0</v>
      </c>
      <c r="G7" s="24">
        <v>0</v>
      </c>
      <c r="H7" s="23">
        <f>B7*E7+C7*F7+D7*G7</f>
        <v>0</v>
      </c>
    </row>
    <row r="8" spans="1:8" ht="24" customHeight="1" x14ac:dyDescent="0.2">
      <c r="A8" s="19" t="s">
        <v>48</v>
      </c>
      <c r="B8" s="23">
        <v>7</v>
      </c>
      <c r="C8" s="23">
        <v>10</v>
      </c>
      <c r="D8" s="23">
        <v>15</v>
      </c>
      <c r="E8" s="24">
        <v>0</v>
      </c>
      <c r="F8" s="24">
        <v>0</v>
      </c>
      <c r="G8" s="24">
        <v>0</v>
      </c>
      <c r="H8" s="23">
        <f>B8*E8+C8*F8+D8*G8</f>
        <v>0</v>
      </c>
    </row>
    <row r="9" spans="1:8" ht="24" customHeight="1" x14ac:dyDescent="0.2">
      <c r="A9" s="19" t="s">
        <v>49</v>
      </c>
      <c r="B9" s="23">
        <v>5</v>
      </c>
      <c r="C9" s="23">
        <v>7</v>
      </c>
      <c r="D9" s="23">
        <v>10</v>
      </c>
      <c r="E9" s="24">
        <v>0</v>
      </c>
      <c r="F9" s="24">
        <v>0</v>
      </c>
      <c r="G9" s="24">
        <v>0</v>
      </c>
      <c r="H9" s="23">
        <f>B9*E9+C9*F9+D9*G9</f>
        <v>0</v>
      </c>
    </row>
    <row r="10" spans="1:8" ht="24" customHeight="1" x14ac:dyDescent="0.2">
      <c r="A10" s="22" t="s">
        <v>62</v>
      </c>
      <c r="B10" s="21"/>
      <c r="C10" s="21"/>
      <c r="D10" s="21"/>
      <c r="E10" s="21"/>
      <c r="F10" s="21"/>
      <c r="G10" s="21"/>
      <c r="H10" s="21">
        <f>SUM(H5:H9)</f>
        <v>7</v>
      </c>
    </row>
    <row r="11" spans="1:8" ht="24" customHeight="1" x14ac:dyDescent="0.2">
      <c r="A11" s="19"/>
      <c r="B11" s="19"/>
      <c r="C11" s="19"/>
      <c r="D11" s="19"/>
      <c r="E11" s="19"/>
      <c r="F11" s="19"/>
      <c r="G11" s="19"/>
      <c r="H11" s="19"/>
    </row>
    <row r="12" spans="1:8" ht="24" customHeight="1" x14ac:dyDescent="0.2">
      <c r="A12" s="20" t="s">
        <v>61</v>
      </c>
      <c r="B12" s="19"/>
      <c r="C12" s="19"/>
      <c r="D12" s="19"/>
      <c r="E12" s="19"/>
      <c r="F12" s="19"/>
      <c r="G12" s="19"/>
      <c r="H12" s="19"/>
    </row>
    <row r="13" spans="1:8" ht="34" customHeight="1" x14ac:dyDescent="0.2">
      <c r="A13" s="18" t="s">
        <v>60</v>
      </c>
      <c r="B13" s="18"/>
      <c r="C13" s="18"/>
      <c r="D13" s="18"/>
      <c r="E13" s="18"/>
      <c r="F13" s="18"/>
      <c r="G13" s="18"/>
      <c r="H13" s="18"/>
    </row>
    <row r="14" spans="1:8" ht="34" customHeight="1" x14ac:dyDescent="0.2">
      <c r="A14" s="18" t="s">
        <v>59</v>
      </c>
      <c r="B14" s="18"/>
      <c r="C14" s="18"/>
      <c r="D14" s="18"/>
      <c r="E14" s="18"/>
      <c r="F14" s="18"/>
      <c r="G14" s="18"/>
      <c r="H14" s="18"/>
    </row>
    <row r="15" spans="1:8" ht="34" customHeight="1" x14ac:dyDescent="0.2">
      <c r="A15" s="18" t="s">
        <v>58</v>
      </c>
      <c r="B15" s="18"/>
      <c r="C15" s="18"/>
      <c r="D15" s="18"/>
      <c r="E15" s="18"/>
      <c r="F15" s="18"/>
      <c r="G15" s="18"/>
      <c r="H15" s="18"/>
    </row>
    <row r="16" spans="1:8" ht="34" customHeight="1" x14ac:dyDescent="0.2">
      <c r="A16" s="18" t="s">
        <v>57</v>
      </c>
      <c r="B16" s="18"/>
      <c r="C16" s="18"/>
      <c r="D16" s="18"/>
      <c r="E16" s="18"/>
      <c r="F16" s="18"/>
      <c r="G16" s="18"/>
      <c r="H16" s="18"/>
    </row>
    <row r="17" spans="1:8" ht="34" customHeight="1" x14ac:dyDescent="0.2">
      <c r="A17" s="18" t="s">
        <v>56</v>
      </c>
      <c r="B17" s="18"/>
      <c r="C17" s="18"/>
      <c r="D17" s="18"/>
      <c r="E17" s="18"/>
      <c r="F17" s="18"/>
      <c r="G17" s="18"/>
      <c r="H17" s="18"/>
    </row>
    <row r="18" spans="1:8" ht="34" customHeight="1" x14ac:dyDescent="0.2">
      <c r="A18" s="18" t="s">
        <v>55</v>
      </c>
      <c r="B18" s="18"/>
      <c r="C18" s="18"/>
      <c r="D18" s="18"/>
      <c r="E18" s="18"/>
      <c r="F18" s="18"/>
      <c r="G18" s="18"/>
      <c r="H18" s="18"/>
    </row>
    <row r="19" spans="1:8" ht="34" customHeight="1" x14ac:dyDescent="0.2">
      <c r="A19" s="18" t="s">
        <v>54</v>
      </c>
      <c r="B19" s="18"/>
      <c r="C19" s="18"/>
      <c r="D19" s="18"/>
      <c r="E19" s="18"/>
      <c r="F19" s="18"/>
      <c r="G19" s="18"/>
      <c r="H19" s="18"/>
    </row>
    <row r="20" spans="1:8" ht="34" customHeight="1" x14ac:dyDescent="0.2">
      <c r="A20" s="18" t="s">
        <v>53</v>
      </c>
      <c r="B20" s="18"/>
      <c r="C20" s="18"/>
      <c r="D20" s="18"/>
      <c r="E20" s="18"/>
      <c r="F20" s="18"/>
      <c r="G20" s="18"/>
      <c r="H20" s="18"/>
    </row>
    <row r="21" spans="1:8" ht="34" customHeight="1" x14ac:dyDescent="0.2">
      <c r="A21" s="18" t="s">
        <v>52</v>
      </c>
      <c r="B21" s="18"/>
      <c r="C21" s="18"/>
      <c r="D21" s="18"/>
      <c r="E21" s="18"/>
      <c r="F21" s="18"/>
      <c r="G21" s="18"/>
      <c r="H21" s="18"/>
    </row>
  </sheetData>
  <mergeCells count="9">
    <mergeCell ref="A18:H18"/>
    <mergeCell ref="A19:H19"/>
    <mergeCell ref="A20:H20"/>
    <mergeCell ref="A21:H21"/>
    <mergeCell ref="A13:H13"/>
    <mergeCell ref="A14:H14"/>
    <mergeCell ref="A15:H15"/>
    <mergeCell ref="A16:H16"/>
    <mergeCell ref="A17:H1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</TotalTime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Halstead</vt:lpstr>
      <vt:lpstr>LOC</vt:lpstr>
      <vt:lpstr>CC</vt:lpstr>
      <vt:lpstr>UFC-Q8</vt:lpstr>
      <vt:lpstr>UFC-Q9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RIBBE Jules</dc:creator>
  <dc:description/>
  <cp:lastModifiedBy>RIBBE Jules</cp:lastModifiedBy>
  <cp:revision>9</cp:revision>
  <dcterms:created xsi:type="dcterms:W3CDTF">2026-09-28T13:17:57Z</dcterms:created>
  <dcterms:modified xsi:type="dcterms:W3CDTF">2026-10-08T12:50:13Z</dcterms:modified>
  <dc:language>fr-FR</dc:language>
</cp:coreProperties>
</file>