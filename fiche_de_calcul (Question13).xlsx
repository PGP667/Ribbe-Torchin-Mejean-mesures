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Halstead" sheetId="1" state="visible" r:id="rId3"/>
    <sheet name="LOC" sheetId="2" state="visible" r:id="rId4"/>
    <sheet name="CC" sheetId="3" state="visible" r:id="rId5"/>
    <sheet name="UFC" sheetId="4" state="visible" r:id="rId6"/>
    <sheet name="M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<sst xmlns="http://schemas.openxmlformats.org/spreadsheetml/2006/main" count="41" uniqueCount="32">
  <si>
    <t xml:space="preserve">Nt</t>
  </si>
  <si>
    <t xml:space="preserve">Nd</t>
  </si>
  <si>
    <t xml:space="preserve">nt</t>
  </si>
  <si>
    <t xml:space="preserve">nd</t>
  </si>
  <si>
    <t xml:space="preserve">N</t>
  </si>
  <si>
    <t xml:space="preserve">n</t>
  </si>
  <si>
    <r>
      <rPr>
        <sz val="12"/>
        <color theme="1"/>
        <rFont val="Aptos Narrow"/>
        <family val="2"/>
        <charset val="1"/>
      </rPr>
      <t xml:space="preserve">Volume = N * log</t>
    </r>
    <r>
      <rPr>
        <vertAlign val="subscript"/>
        <sz val="12"/>
        <color theme="1"/>
        <rFont val="Aptos Narrow"/>
        <family val="2"/>
        <charset val="1"/>
      </rPr>
      <t xml:space="preserve">2</t>
    </r>
    <r>
      <rPr>
        <sz val="12"/>
        <color theme="1"/>
        <rFont val="Aptos Narrow"/>
        <family val="2"/>
        <charset val="1"/>
      </rPr>
      <t xml:space="preserve">(n)</t>
    </r>
  </si>
  <si>
    <t xml:space="preserve">Difficulté = (nt /2) * (Nd / nd)</t>
  </si>
  <si>
    <t xml:space="preserve">Effort = Difficulté * Volume</t>
  </si>
  <si>
    <t xml:space="preserve">Lignes</t>
  </si>
  <si>
    <t xml:space="preserve">Élément </t>
  </si>
  <si>
    <t xml:space="preserve">Valeurs</t>
  </si>
  <si>
    <t xml:space="preserve">Nombre de nœuds (N) :</t>
  </si>
  <si>
    <t xml:space="preserve">Nombre d’arêtes (E) :</t>
  </si>
  <si>
    <t xml:space="preserve">Calcul : 
(CC = [E – N] +2)</t>
  </si>
  <si>
    <t xml:space="preserve">Tableau des poids</t>
  </si>
  <si>
    <t xml:space="preserve">Catégorie</t>
  </si>
  <si>
    <t xml:space="preserve">Simple</t>
  </si>
  <si>
    <t xml:space="preserve">Moyen</t>
  </si>
  <si>
    <t xml:space="preserve">Difficile</t>
  </si>
  <si>
    <t xml:space="preserve">Entrées externes</t>
  </si>
  <si>
    <t xml:space="preserve">Sorties externes</t>
  </si>
  <si>
    <t xml:space="preserve">Requete externes</t>
  </si>
  <si>
    <t xml:space="preserve">Fichiers internes</t>
  </si>
  <si>
    <t xml:space="preserve">Fichiers externes</t>
  </si>
  <si>
    <t xml:space="preserve">Tableau des scores</t>
  </si>
  <si>
    <r>
      <rPr>
        <sz val="12"/>
        <color theme="1"/>
        <rFont val="Aptos Narrow"/>
        <family val="2"/>
        <charset val="1"/>
      </rPr>
      <t xml:space="preserve">Formule UFC score :
</t>
    </r>
    <r>
      <rPr>
        <sz val="9"/>
        <color theme="1"/>
        <rFont val="Aptos Narrow"/>
        <family val="2"/>
        <charset val="1"/>
      </rPr>
      <t xml:space="preserve">(use de SOMMEPROD) </t>
    </r>
  </si>
  <si>
    <t xml:space="preserve">HV</t>
  </si>
  <si>
    <t xml:space="preserve">LOC </t>
  </si>
  <si>
    <t xml:space="preserve">CC</t>
  </si>
  <si>
    <t xml:space="preserve">COM</t>
  </si>
  <si>
    <t xml:space="preserve">MI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</si>
</sst>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2"/>
      <color theme="1"/>
      <name val="Aptos Narrow"/>
      <family val="2"/>
      <charset val="1"/>
    </font>
    <font>
      <i val="true"/>
      <sz val="12"/>
      <color theme="1"/>
      <name val="Aptos Narrow"/>
      <family val="2"/>
      <charset val="1"/>
    </font>
    <font>
      <b val="true"/>
      <sz val="15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20"/>
      <color theme="1"/>
      <name val="Aptos Narrow"/>
      <family val="2"/>
      <charset val="1"/>
    </font>
    <font>
      <sz val="9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31.33"/>
    <col collapsed="false" customWidth="true" hidden="false" outlineLevel="0" max="3" min="3" style="1" width="33.51"/>
  </cols>
  <sheetData>
    <row r="1" customFormat="false" ht="15.75" hidden="false" customHeight="false" outlineLevel="0" collapsed="false">
      <c r="A1" s="2" t="s">
        <v>0</v>
      </c>
      <c r="B1" s="1" t="n">
        <v>1550</v>
      </c>
      <c r="D1" s="1"/>
      <c r="E1" s="1"/>
    </row>
    <row r="2" customFormat="false" ht="15.75" hidden="false" customHeight="false" outlineLevel="0" collapsed="false">
      <c r="A2" s="1" t="s">
        <v>1</v>
      </c>
      <c r="B2" s="1" t="n">
        <v>823</v>
      </c>
      <c r="D2" s="3"/>
      <c r="E2" s="1"/>
    </row>
    <row r="3" customFormat="false" ht="15.75" hidden="false" customHeight="false" outlineLevel="0" collapsed="false">
      <c r="A3" s="1" t="s">
        <v>2</v>
      </c>
      <c r="B3" s="1" t="n">
        <v>38</v>
      </c>
      <c r="D3" s="3"/>
      <c r="E3" s="1"/>
    </row>
    <row r="4" customFormat="false" ht="15.75" hidden="false" customHeight="false" outlineLevel="0" collapsed="false">
      <c r="A4" s="1" t="s">
        <v>3</v>
      </c>
      <c r="B4" s="1" t="n">
        <v>169</v>
      </c>
      <c r="D4" s="3"/>
      <c r="E4" s="1"/>
    </row>
    <row r="5" customFormat="false" ht="15.75" hidden="false" customHeight="false" outlineLevel="0" collapsed="false">
      <c r="B5" s="1"/>
      <c r="D5" s="3"/>
      <c r="E5" s="1"/>
    </row>
    <row r="6" customFormat="false" ht="15.75" hidden="false" customHeight="false" outlineLevel="0" collapsed="false">
      <c r="D6" s="3"/>
      <c r="E6" s="1"/>
    </row>
    <row r="7" customFormat="false" ht="15.75" hidden="false" customHeight="false" outlineLevel="0" collapsed="false">
      <c r="A7" s="1" t="s">
        <v>4</v>
      </c>
      <c r="B7" s="1" t="n">
        <f aca="false">B1+B2</f>
        <v>2373</v>
      </c>
      <c r="D7" s="3"/>
      <c r="E7" s="1"/>
    </row>
    <row r="8" customFormat="false" ht="15.75" hidden="false" customHeight="false" outlineLevel="0" collapsed="false">
      <c r="A8" s="1" t="s">
        <v>5</v>
      </c>
      <c r="B8" s="1" t="n">
        <f aca="false">B3+B4</f>
        <v>207</v>
      </c>
      <c r="D8" s="3"/>
      <c r="E8" s="1"/>
    </row>
    <row r="9" customFormat="false" ht="15.75" hidden="false" customHeight="false" outlineLevel="0" collapsed="false">
      <c r="A9" s="1" t="s">
        <v>6</v>
      </c>
      <c r="B9" s="1" t="n">
        <f aca="false">B7*LOG(B8,2)</f>
        <v>18256.6445501459</v>
      </c>
      <c r="D9" s="3"/>
      <c r="E9" s="1"/>
    </row>
    <row r="10" customFormat="false" ht="15.75" hidden="false" customHeight="false" outlineLevel="0" collapsed="false">
      <c r="A10" s="1" t="s">
        <v>7</v>
      </c>
      <c r="B10" s="1" t="n">
        <f aca="false">(B3/2)*(B2/B4)</f>
        <v>92.5266272189349</v>
      </c>
      <c r="D10" s="3"/>
      <c r="E10" s="1"/>
    </row>
    <row r="11" customFormat="false" ht="15.75" hidden="false" customHeight="false" outlineLevel="0" collapsed="false">
      <c r="A11" s="1" t="s">
        <v>8</v>
      </c>
      <c r="B11" s="1" t="n">
        <f aca="false">B10*B9</f>
        <v>1689225.74455995</v>
      </c>
      <c r="D11" s="3"/>
      <c r="E11" s="1"/>
    </row>
    <row r="12" customFormat="false" ht="15.75" hidden="false" customHeight="false" outlineLevel="0" collapsed="false">
      <c r="B12" s="1"/>
      <c r="D12" s="3"/>
      <c r="E12" s="1"/>
    </row>
    <row r="13" customFormat="false" ht="15.75" hidden="false" customHeight="false" outlineLevel="0" collapsed="false">
      <c r="B13" s="1"/>
      <c r="D13" s="3"/>
      <c r="E13" s="1"/>
    </row>
    <row r="14" customFormat="false" ht="15.75" hidden="false" customHeight="false" outlineLevel="0" collapsed="false">
      <c r="B14" s="1"/>
      <c r="D14" s="3"/>
      <c r="E14" s="1"/>
    </row>
    <row r="15" customFormat="false" ht="15.75" hidden="false" customHeight="false" outlineLevel="0" collapsed="false">
      <c r="B15" s="1"/>
    </row>
    <row r="16" customFormat="false" ht="15.75" hidden="false" customHeight="false" outlineLevel="0" collapsed="false">
      <c r="B16" s="1"/>
    </row>
    <row r="17" customFormat="false" ht="15.75" hidden="false" customHeight="false" outlineLevel="0" collapsed="false">
      <c r="B17" s="1"/>
    </row>
    <row r="18" customFormat="false" ht="15.75" hidden="false" customHeight="false" outlineLevel="0" collapsed="false">
      <c r="B18" s="1"/>
    </row>
    <row r="19" customFormat="false" ht="15.75" hidden="false" customHeight="false" outlineLevel="0" collapsed="false">
      <c r="B19" s="1"/>
    </row>
    <row r="20" customFormat="false" ht="15.75" hidden="false" customHeight="false" outlineLevel="0" collapsed="false">
      <c r="B20" s="1"/>
    </row>
    <row r="21" customFormat="false" ht="15.75" hidden="false" customHeight="false" outlineLevel="0" collapsed="false">
      <c r="B21" s="1"/>
    </row>
    <row r="22" customFormat="false" ht="15.75" hidden="false" customHeight="false" outlineLevel="0" collapsed="false">
      <c r="A22" s="4"/>
      <c r="B22" s="3"/>
      <c r="C22" s="4"/>
      <c r="D22" s="3"/>
    </row>
    <row r="23" customFormat="false" ht="15.75" hidden="false" customHeight="false" outlineLevel="0" collapsed="false">
      <c r="A23" s="5"/>
      <c r="C23" s="6"/>
    </row>
    <row r="24" customFormat="false" ht="15.75" hidden="false" customHeight="false" outlineLevel="0" collapsed="false">
      <c r="A24" s="4"/>
      <c r="B24" s="3"/>
      <c r="C24" s="4"/>
      <c r="D24" s="3"/>
    </row>
    <row r="27" customFormat="false" ht="15.75" hidden="false" customHeight="false" outlineLevel="0" collapsed="false">
      <c r="B27" s="1"/>
    </row>
    <row r="28" customFormat="false" ht="15.75" hidden="false" customHeight="false" outlineLevel="0" collapsed="false">
      <c r="B28" s="1"/>
    </row>
    <row r="29" customFormat="false" ht="15.75" hidden="false" customHeight="false" outlineLevel="0" collapsed="false">
      <c r="B29" s="1"/>
    </row>
    <row r="30" customFormat="false" ht="15.75" hidden="false" customHeight="false" outlineLevel="0" collapsed="false">
      <c r="B30" s="1"/>
    </row>
    <row r="31" customFormat="false" ht="15.75" hidden="false" customHeight="false" outlineLevel="0" collapsed="false">
      <c r="B31" s="1"/>
    </row>
    <row r="32" customFormat="false" ht="15.75" hidden="false" customHeight="false" outlineLevel="0" collapsed="false">
      <c r="B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5" activeCellId="0" sqref="C15"/>
    </sheetView>
  </sheetViews>
  <sheetFormatPr defaultColWidth="10.5156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9</v>
      </c>
      <c r="B1" s="1" t="n">
        <v>3070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23.83"/>
    <col collapsed="false" customWidth="true" hidden="false" outlineLevel="0" max="2" min="2" style="1" width="13"/>
  </cols>
  <sheetData>
    <row r="1" customFormat="false" ht="18.55" hidden="false" customHeight="false" outlineLevel="0" collapsed="false">
      <c r="A1" s="7" t="s">
        <v>10</v>
      </c>
      <c r="B1" s="8" t="s">
        <v>11</v>
      </c>
    </row>
    <row r="2" customFormat="false" ht="27" hidden="false" customHeight="true" outlineLevel="0" collapsed="false">
      <c r="A2" s="9" t="s">
        <v>12</v>
      </c>
      <c r="B2" s="10" t="n">
        <v>82</v>
      </c>
      <c r="C2" s="10"/>
      <c r="D2" s="10"/>
      <c r="E2" s="10"/>
      <c r="F2" s="10"/>
      <c r="G2" s="10"/>
    </row>
    <row r="3" customFormat="false" ht="31.5" hidden="false" customHeight="true" outlineLevel="0" collapsed="false">
      <c r="A3" s="11" t="s">
        <v>13</v>
      </c>
      <c r="B3" s="10" t="n">
        <v>110</v>
      </c>
      <c r="C3" s="10"/>
      <c r="D3" s="10"/>
      <c r="E3" s="10"/>
      <c r="F3" s="10"/>
      <c r="G3" s="10"/>
    </row>
    <row r="4" customFormat="false" ht="34.5" hidden="false" customHeight="true" outlineLevel="0" collapsed="false">
      <c r="A4" s="12" t="s">
        <v>14</v>
      </c>
      <c r="B4" s="10" t="n">
        <f aca="false">B3 - B2 + 2</f>
        <v>30</v>
      </c>
      <c r="C4" s="10"/>
      <c r="D4" s="10"/>
      <c r="E4" s="10"/>
      <c r="F4" s="10"/>
      <c r="G4" s="10"/>
    </row>
    <row r="5" customFormat="false" ht="15.75" hidden="false" customHeight="false" outlineLevel="0" collapsed="false">
      <c r="A5" s="13"/>
      <c r="B5" s="10"/>
      <c r="C5" s="10"/>
      <c r="D5" s="10"/>
      <c r="E5" s="10"/>
      <c r="F5" s="10"/>
      <c r="G5" s="10"/>
    </row>
    <row r="6" customFormat="false" ht="15.75" hidden="false" customHeight="false" outlineLevel="0" collapsed="false">
      <c r="A6" s="13"/>
      <c r="B6" s="10"/>
      <c r="C6" s="10"/>
      <c r="D6" s="10"/>
      <c r="E6" s="10"/>
      <c r="F6" s="10"/>
      <c r="G6" s="10"/>
    </row>
    <row r="7" customFormat="false" ht="15.75" hidden="false" customHeight="false" outlineLevel="0" collapsed="false">
      <c r="A7" s="13"/>
      <c r="B7" s="10"/>
      <c r="C7" s="10"/>
      <c r="D7" s="10"/>
      <c r="E7" s="10"/>
      <c r="F7" s="10"/>
      <c r="G7" s="10"/>
    </row>
    <row r="8" customFormat="false" ht="15.75" hidden="false" customHeight="false" outlineLevel="0" collapsed="false">
      <c r="A8" s="13"/>
      <c r="B8" s="10"/>
      <c r="C8" s="10"/>
      <c r="D8" s="10"/>
      <c r="E8" s="10"/>
      <c r="F8" s="10"/>
      <c r="G8" s="10"/>
    </row>
    <row r="9" customFormat="false" ht="15.75" hidden="false" customHeight="false" outlineLevel="0" collapsed="false">
      <c r="A9" s="13"/>
      <c r="B9" s="10"/>
      <c r="C9" s="10"/>
      <c r="D9" s="10"/>
      <c r="E9" s="10"/>
      <c r="F9" s="10"/>
      <c r="G9" s="10"/>
    </row>
    <row r="10" customFormat="false" ht="15.75" hidden="false" customHeight="false" outlineLevel="0" collapsed="false">
      <c r="A10" s="13"/>
      <c r="B10" s="10"/>
      <c r="C10" s="10"/>
      <c r="D10" s="10"/>
      <c r="E10" s="10"/>
      <c r="F10" s="10"/>
      <c r="G10" s="10"/>
    </row>
    <row r="11" customFormat="false" ht="15.75" hidden="false" customHeight="false" outlineLevel="0" collapsed="false">
      <c r="A11" s="13"/>
      <c r="B11" s="10"/>
      <c r="C11" s="10"/>
      <c r="D11" s="10"/>
      <c r="E11" s="10"/>
      <c r="F11" s="10"/>
      <c r="G11" s="10"/>
    </row>
    <row r="12" customFormat="false" ht="15.75" hidden="false" customHeight="false" outlineLevel="0" collapsed="false">
      <c r="A12" s="13"/>
      <c r="B12" s="10"/>
      <c r="C12" s="10"/>
      <c r="D12" s="10"/>
      <c r="E12" s="10"/>
      <c r="F12" s="10"/>
      <c r="G12" s="10"/>
    </row>
    <row r="13" customFormat="false" ht="15.75" hidden="false" customHeight="false" outlineLevel="0" collapsed="false">
      <c r="A13" s="13"/>
      <c r="B13" s="10"/>
      <c r="C13" s="10"/>
      <c r="D13" s="10"/>
      <c r="E13" s="10"/>
      <c r="F13" s="10"/>
      <c r="G13" s="10"/>
    </row>
    <row r="14" customFormat="false" ht="15.75" hidden="false" customHeight="false" outlineLevel="0" collapsed="false">
      <c r="A14" s="13"/>
      <c r="B14" s="10"/>
      <c r="C14" s="10"/>
      <c r="D14" s="10"/>
      <c r="E14" s="10"/>
      <c r="F14" s="10"/>
      <c r="G14" s="10"/>
    </row>
    <row r="15" customFormat="false" ht="15.75" hidden="false" customHeight="false" outlineLevel="0" collapsed="false">
      <c r="A15" s="13"/>
      <c r="B15" s="10"/>
      <c r="C15" s="10"/>
      <c r="D15" s="10"/>
      <c r="E15" s="10"/>
      <c r="F15" s="10"/>
      <c r="G15" s="10"/>
    </row>
    <row r="16" customFormat="false" ht="15.75" hidden="false" customHeight="false" outlineLevel="0" collapsed="false">
      <c r="A16" s="13"/>
      <c r="B16" s="10"/>
      <c r="C16" s="10"/>
      <c r="D16" s="10"/>
      <c r="E16" s="10"/>
      <c r="F16" s="10"/>
      <c r="G16" s="10"/>
    </row>
    <row r="17" customFormat="false" ht="15.75" hidden="false" customHeight="false" outlineLevel="0" collapsed="false">
      <c r="A17" s="13"/>
      <c r="B17" s="10"/>
      <c r="C17" s="10"/>
      <c r="D17" s="10"/>
      <c r="E17" s="10"/>
      <c r="F17" s="10"/>
      <c r="G17" s="10"/>
    </row>
    <row r="18" customFormat="false" ht="15.75" hidden="false" customHeight="false" outlineLevel="0" collapsed="false">
      <c r="A18" s="13"/>
      <c r="B18" s="10"/>
      <c r="C18" s="10"/>
      <c r="D18" s="10"/>
      <c r="E18" s="10"/>
      <c r="F18" s="10"/>
      <c r="G18" s="10"/>
    </row>
    <row r="19" customFormat="false" ht="15.75" hidden="false" customHeight="false" outlineLevel="0" collapsed="false">
      <c r="A19" s="13"/>
      <c r="B19" s="10"/>
      <c r="C19" s="10"/>
      <c r="D19" s="10"/>
      <c r="E19" s="10"/>
      <c r="F19" s="10"/>
      <c r="G19" s="10"/>
    </row>
    <row r="20" customFormat="false" ht="15.75" hidden="false" customHeight="false" outlineLevel="0" collapsed="false">
      <c r="A20" s="13"/>
      <c r="B20" s="10"/>
      <c r="C20" s="10"/>
      <c r="D20" s="10"/>
      <c r="E20" s="10"/>
      <c r="F20" s="10"/>
      <c r="G20" s="10"/>
    </row>
    <row r="21" customFormat="false" ht="15.75" hidden="false" customHeight="false" outlineLevel="0" collapsed="false">
      <c r="A21" s="13"/>
      <c r="B21" s="10"/>
      <c r="C21" s="10"/>
      <c r="D21" s="10"/>
      <c r="E21" s="10"/>
      <c r="F21" s="10"/>
      <c r="G21" s="10"/>
    </row>
    <row r="22" customFormat="false" ht="15.7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.7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.75" hidden="false" customHeight="false" outlineLevel="0" collapsed="false">
      <c r="A24" s="10"/>
      <c r="B24" s="10"/>
      <c r="C24" s="10"/>
      <c r="D24" s="10"/>
      <c r="E24" s="10"/>
      <c r="F24" s="10"/>
      <c r="G24" s="10"/>
    </row>
    <row r="25" customFormat="false" ht="15.7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.75" hidden="false" customHeight="false" outlineLevel="0" collapsed="false">
      <c r="A26" s="10"/>
      <c r="B26" s="10"/>
      <c r="C26" s="10"/>
      <c r="D26" s="10"/>
      <c r="E26" s="10"/>
      <c r="F26" s="10"/>
      <c r="G26" s="10"/>
    </row>
    <row r="27" customFormat="false" ht="15.7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.7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5.75" hidden="false" customHeight="false" outlineLevel="0" collapsed="false">
      <c r="A29" s="10"/>
      <c r="B29" s="10"/>
      <c r="C29" s="10"/>
      <c r="D29" s="10"/>
      <c r="E29" s="10"/>
      <c r="F29" s="10"/>
      <c r="G29" s="10"/>
    </row>
    <row r="30" customFormat="false" ht="15.75" hidden="false" customHeight="false" outlineLevel="0" collapsed="false">
      <c r="A30" s="10"/>
      <c r="B30" s="10"/>
      <c r="C30" s="10"/>
      <c r="D30" s="10"/>
      <c r="E30" s="10"/>
      <c r="F30" s="10"/>
      <c r="G30" s="10"/>
    </row>
    <row r="31" customFormat="false" ht="15.7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.75" hidden="false" customHeight="false" outlineLevel="0" collapsed="false">
      <c r="A32" s="10"/>
      <c r="B32" s="10"/>
      <c r="C32" s="10"/>
      <c r="D32" s="10"/>
      <c r="E32" s="10"/>
      <c r="F32" s="10"/>
      <c r="G32" s="10"/>
    </row>
    <row r="33" customFormat="false" ht="15.75" hidden="false" customHeight="false" outlineLevel="0" collapsed="false">
      <c r="A33" s="10"/>
      <c r="B33" s="10"/>
      <c r="C33" s="10"/>
      <c r="D33" s="10"/>
      <c r="E33" s="10"/>
      <c r="F33" s="10"/>
      <c r="G33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6" activeCellId="0" sqref="D16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17.67"/>
  </cols>
  <sheetData>
    <row r="1" customFormat="false" ht="35.25" hidden="false" customHeight="true" outlineLevel="0" collapsed="false">
      <c r="A1" s="14" t="s">
        <v>15</v>
      </c>
      <c r="B1" s="14"/>
    </row>
    <row r="2" customFormat="false" ht="20.25" hidden="false" customHeight="true" outlineLevel="0" collapsed="false">
      <c r="A2" s="15" t="s">
        <v>16</v>
      </c>
      <c r="B2" s="16" t="s">
        <v>17</v>
      </c>
      <c r="C2" s="16" t="s">
        <v>18</v>
      </c>
      <c r="D2" s="16" t="s">
        <v>19</v>
      </c>
    </row>
    <row r="3" customFormat="false" ht="18.75" hidden="false" customHeight="true" outlineLevel="0" collapsed="false">
      <c r="A3" s="17" t="s">
        <v>20</v>
      </c>
      <c r="B3" s="1" t="n">
        <v>3</v>
      </c>
      <c r="C3" s="1" t="n">
        <v>4</v>
      </c>
      <c r="D3" s="1" t="n">
        <v>6</v>
      </c>
    </row>
    <row r="4" customFormat="false" ht="19.5" hidden="false" customHeight="true" outlineLevel="0" collapsed="false">
      <c r="A4" s="17" t="s">
        <v>21</v>
      </c>
      <c r="B4" s="1" t="n">
        <v>4</v>
      </c>
      <c r="C4" s="1" t="n">
        <v>5</v>
      </c>
      <c r="D4" s="1" t="n">
        <v>7</v>
      </c>
    </row>
    <row r="5" customFormat="false" ht="19.5" hidden="false" customHeight="true" outlineLevel="0" collapsed="false">
      <c r="A5" s="17" t="s">
        <v>22</v>
      </c>
      <c r="B5" s="1" t="n">
        <v>3</v>
      </c>
      <c r="C5" s="1" t="n">
        <v>4</v>
      </c>
      <c r="D5" s="1" t="n">
        <v>6</v>
      </c>
    </row>
    <row r="6" customFormat="false" ht="21.75" hidden="false" customHeight="true" outlineLevel="0" collapsed="false">
      <c r="A6" s="17" t="s">
        <v>23</v>
      </c>
      <c r="B6" s="1" t="n">
        <v>7</v>
      </c>
      <c r="C6" s="1" t="n">
        <v>11</v>
      </c>
      <c r="D6" s="1" t="n">
        <v>15</v>
      </c>
    </row>
    <row r="7" customFormat="false" ht="21.75" hidden="false" customHeight="true" outlineLevel="0" collapsed="false">
      <c r="A7" s="17" t="s">
        <v>24</v>
      </c>
      <c r="B7" s="1" t="n">
        <v>5</v>
      </c>
      <c r="C7" s="1" t="n">
        <v>7</v>
      </c>
      <c r="D7" s="1" t="n">
        <v>10</v>
      </c>
    </row>
    <row r="10" customFormat="false" ht="32.25" hidden="false" customHeight="true" outlineLevel="0" collapsed="false">
      <c r="A10" s="14" t="s">
        <v>25</v>
      </c>
      <c r="B10" s="14"/>
    </row>
    <row r="11" customFormat="false" ht="15.75" hidden="false" customHeight="false" outlineLevel="0" collapsed="false">
      <c r="A11" s="15" t="s">
        <v>16</v>
      </c>
      <c r="B11" s="16" t="s">
        <v>17</v>
      </c>
      <c r="C11" s="16" t="s">
        <v>18</v>
      </c>
      <c r="D11" s="16" t="s">
        <v>19</v>
      </c>
    </row>
    <row r="12" customFormat="false" ht="18" hidden="false" customHeight="true" outlineLevel="0" collapsed="false">
      <c r="A12" s="17" t="s">
        <v>20</v>
      </c>
      <c r="B12" s="1" t="n">
        <v>0</v>
      </c>
      <c r="C12" s="1" t="n">
        <v>0</v>
      </c>
      <c r="D12" s="1" t="n">
        <v>0</v>
      </c>
    </row>
    <row r="13" customFormat="false" ht="18" hidden="false" customHeight="true" outlineLevel="0" collapsed="false">
      <c r="A13" s="17" t="s">
        <v>21</v>
      </c>
      <c r="B13" s="1" t="n">
        <v>5</v>
      </c>
      <c r="C13" s="1" t="n">
        <v>0</v>
      </c>
      <c r="D13" s="1" t="n">
        <v>0</v>
      </c>
    </row>
    <row r="14" customFormat="false" ht="18.75" hidden="false" customHeight="true" outlineLevel="0" collapsed="false">
      <c r="A14" s="17" t="s">
        <v>22</v>
      </c>
      <c r="B14" s="1" t="n">
        <v>0</v>
      </c>
      <c r="C14" s="1" t="n">
        <v>0</v>
      </c>
      <c r="D14" s="1" t="n">
        <v>0</v>
      </c>
    </row>
    <row r="15" customFormat="false" ht="18.75" hidden="false" customHeight="true" outlineLevel="0" collapsed="false">
      <c r="A15" s="17" t="s">
        <v>23</v>
      </c>
      <c r="B15" s="1" t="n">
        <v>0</v>
      </c>
      <c r="C15" s="1" t="n">
        <v>0</v>
      </c>
      <c r="D15" s="1" t="n">
        <v>0</v>
      </c>
    </row>
    <row r="16" customFormat="false" ht="18" hidden="false" customHeight="true" outlineLevel="0" collapsed="false">
      <c r="A16" s="17" t="s">
        <v>24</v>
      </c>
      <c r="B16" s="1" t="n">
        <v>0</v>
      </c>
      <c r="C16" s="1" t="n">
        <v>0</v>
      </c>
      <c r="D16" s="1" t="n">
        <v>0</v>
      </c>
    </row>
    <row r="17" customFormat="false" ht="8.25" hidden="false" customHeight="true" outlineLevel="0" collapsed="false">
      <c r="A17" s="18"/>
      <c r="B17" s="18"/>
      <c r="C17" s="18"/>
      <c r="D17" s="18"/>
    </row>
    <row r="18" customFormat="false" ht="7.5" hidden="false" customHeight="true" outlineLevel="0" collapsed="false"/>
    <row r="19" customFormat="false" ht="7.5" hidden="false" customHeight="true" outlineLevel="0" collapsed="false"/>
    <row r="20" customFormat="false" ht="33" hidden="false" customHeight="true" outlineLevel="0" collapsed="false">
      <c r="A20" s="2" t="s">
        <v>26</v>
      </c>
      <c r="B20" s="6" t="n">
        <f aca="false">SUMPRODUCT(B3:D7,B12:D16)</f>
        <v>20</v>
      </c>
    </row>
    <row r="21" customFormat="false" ht="27" hidden="false" customHeight="true" outlineLevel="0" collapsed="false"/>
  </sheetData>
  <mergeCells count="2">
    <mergeCell ref="A1:B1"/>
    <mergeCell ref="A10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9.34375" defaultRowHeight="12.8" customHeight="false" zeroHeight="false" outlineLevelRow="0" outlineLevelCol="0"/>
  <cols>
    <col collapsed="false" customWidth="true" hidden="false" outlineLevel="0" max="1" min="1" style="1" width="17.37"/>
    <col collapsed="false" customWidth="true" hidden="false" outlineLevel="0" max="2" min="2" style="1" width="10.37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18" t="s">
        <v>27</v>
      </c>
      <c r="B2" s="1" t="n">
        <f aca="false">Halstead!B9</f>
        <v>18256.6445501459</v>
      </c>
    </row>
    <row r="3" customFormat="false" ht="18.7" hidden="false" customHeight="true" outlineLevel="0" collapsed="false">
      <c r="A3" s="18" t="s">
        <v>28</v>
      </c>
      <c r="B3" s="1" t="n">
        <f aca="false">LOC!B1</f>
        <v>3070</v>
      </c>
    </row>
    <row r="4" customFormat="false" ht="15" hidden="false" customHeight="false" outlineLevel="0" collapsed="false">
      <c r="A4" s="18" t="s">
        <v>29</v>
      </c>
      <c r="B4" s="1" t="n">
        <f aca="false">CC!B4</f>
        <v>30</v>
      </c>
    </row>
    <row r="5" customFormat="false" ht="15" hidden="false" customHeight="false" outlineLevel="0" collapsed="false">
      <c r="A5" s="18" t="s">
        <v>30</v>
      </c>
      <c r="B5" s="1" t="n">
        <f aca="false">(47/B3)*100</f>
        <v>1.53094462540717</v>
      </c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8" t="s">
        <v>31</v>
      </c>
      <c r="B7" s="1" t="n">
        <f aca="false">171 - 5.2*LN(B2) - 0.23*B4 - 16.2*LN(B3) + 50*SIN(SQRT(2.46 * B5))</f>
        <v>29.6183153867352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LibreOffice/25.8.7.2$Windows_X86_64 LibreOffice_project/e9cfafff50477fae0fcf42925ebd2aec2bdc5df4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2026-10-08T17:20:13Z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