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alstead" sheetId="1" state="visible" r:id="rId3"/>
    <sheet name="LOC-Q6" sheetId="2" state="visible" r:id="rId4"/>
    <sheet name="CC" sheetId="3" state="visible" r:id="rId5"/>
    <sheet name="UFC-Q8" sheetId="4" state="visible" r:id="rId6"/>
    <sheet name="UFC-Q9" sheetId="5" state="visible" r:id="rId7"/>
    <sheet name="MI-Q10" sheetId="6" state="visible" r:id="rId8"/>
    <sheet name="MI-Q11" sheetId="7" state="visible" r:id="rId9"/>
    <sheet name="TFC-Q1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<sst xmlns="http://schemas.openxmlformats.org/spreadsheetml/2006/main" count="131" uniqueCount="98">
  <si>
    <t xml:space="preserve">Nt</t>
  </si>
  <si>
    <t xml:space="preserve">Nd</t>
  </si>
  <si>
    <t xml:space="preserve">nt</t>
  </si>
  <si>
    <t xml:space="preserve">nd</t>
  </si>
  <si>
    <t xml:space="preserve">N</t>
  </si>
  <si>
    <t xml:space="preserve">n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</si>
  <si>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</si>
  <si>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</si>
  <si>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</si>
  <si>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</si>
  <si>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</si>
  <si>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</si>
  <si>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</si>
  <si>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</si>
  <si>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</si>
  <si>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</si>
  <si>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</si>
  <si>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</si>
  <si>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</si>
  <si>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</si>
  <si>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</si>
  <si>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</si>
  <si>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</si>
  <si>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</si>
  <si>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</si>
  <si>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</si>
  <si>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</si>
  <si>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 xml:space="preserve">Q9 - Points de fonction de QuickSort</t>
  </si>
  <si>
    <t xml:space="preserve">Poids</t>
  </si>
  <si>
    <t xml:space="preserve">Scores</t>
  </si>
  <si>
    <t xml:space="preserve">Total pondéré</t>
  </si>
  <si>
    <t xml:space="preserve">Requêtes externes</t>
  </si>
  <si>
    <t xml:space="preserve">UFC</t>
  </si>
  <si>
    <t xml:space="preserve">Hypothèses et justification</t>
  </si>
  <si>
    <t xml:space="preserve">Périmètre : adaptation pédagogique au service de tri iqsort0(a, n), appelé depuis l’extérieur.</t>
  </si>
  <si>
    <t xml:space="preserve">Entrée simple : une demande de tri reçoit le tableau a et sa taille n. Les deux paramètres constituent une seule entrée.</t>
  </si>
  <si>
    <t xml:space="preserve">Sortie simple : le tableau trié est accessible à l’appelant après modification en place, même si la fonction est void.</t>
  </si>
  <si>
    <t xml:space="preserve">Requêtes externes : aucune consultation distincte du tri. Les comparaisons et appels récursifs sont internes au traitement.</t>
  </si>
  <si>
    <t xml:space="preserve">Fichiers internes et externes : aucun fichier ni groupe de données persistant dans le code étudié. Le tableau est en mémoire.</t>
  </si>
  <si>
    <t xml:space="preserve">Niveau simple retenu pour les échanges : une liste d’entiers et sa taille, sans format complexe. Ce choix ne mesure pas la difficulté du tri.</t>
  </si>
  <si>
    <t xml:space="preserve">Cette adaptation suppose que le tableau trié compte comme sortie du service. Ce n’est pas un décompte normalisé établi par le CM.</t>
  </si>
  <si>
    <t xml:space="preserve">Les poids sont conservés du CM ; les scores de son exemple sont remplacés par les nombres d’interactions retenus pour QuickSort.</t>
  </si>
  <si>
    <t xml:space="preserve">Sources : CM R5.A.08, « Méthode des points de fonction d’Albrecht », p. 46 ; TP Mesures logicielles, exercice 2, Q4 et Q9.</t>
  </si>
  <si>
    <t xml:space="preserve">HV</t>
  </si>
  <si>
    <t xml:space="preserve">LOC</t>
  </si>
  <si>
    <t xml:space="preserve">CC</t>
  </si>
  <si>
    <t xml:space="preserve">COM</t>
  </si>
  <si>
    <t xml:space="preserve">MI</t>
  </si>
  <si>
    <t xml:space="preserve">LOC </t>
  </si>
  <si>
    <t xml:space="preserve">Q12 - Facteur de complexité technique de Qalculate!</t>
  </si>
  <si>
    <t xml:space="preserve">Périmètre : application de bureau Qalculate! (interface GTK et moteur libqalculate), calculs, définitions et taux de change.</t>
  </si>
  <si>
    <t xml:space="preserve">Évaluation documentaire au 08/10/2026. Les scores sont des estimations argumentées, pas des mesures ni des notes officielles du projet.</t>
  </si>
  <si>
    <t xml:space="preserve">Échelle du CM : 0 = aucune influence ; 5 = influence critique. Convention retenue : 1 faible, 2 modérée, 3 moyenne, 4 forte.</t>
  </si>
  <si>
    <t xml:space="preserve">« En ligne » = interaction pendant l’utilisation. Fichiers maîtres : définitions persistantes prises comme données de référence.</t>
  </si>
  <si>
    <t xml:space="preserve">N°</t>
  </si>
  <si>
    <t xml:space="preserve">Facteur technique du CM</t>
  </si>
  <si>
    <t xml:space="preserve">Note / 5</t>
  </si>
  <si>
    <t xml:space="preserve">Justification et hypothèses</t>
  </si>
  <si>
    <t xml:space="preserve">Source officielle</t>
  </si>
  <si>
    <t xml:space="preserve">Sauvegarde et récupération fiables</t>
  </si>
  <si>
    <t xml:space="preserve">Historique et définitions conservés. Besoin modéré de préservation, sans exigence de reprise critique retenue.</t>
  </si>
  <si>
    <t xml:space="preserve">https://qalculate.github.io/manual/qalculate-user-interface.html</t>
  </si>
  <si>
    <t xml:space="preserve">Communications de données</t>
  </si>
  <si>
    <t xml:space="preserve">Téléchargement des taux de change. Influence limitée à cette fonction dans le périmètre étudié.</t>
  </si>
  <si>
    <t xml:space="preserve">https://qalculate.github.io/manual/qalculate-units.html</t>
  </si>
  <si>
    <t xml:space="preserve">Traitement distribué</t>
  </si>
  <si>
    <t xml:space="preserve">Calcul local retenu. Aucun traitement distribué documenté dans les fonctionnalités examinées ; télécharger des taux ne répartit pas le calcul.</t>
  </si>
  <si>
    <t xml:space="preserve">https://github.com/Qalculate/qalculate-gtk</t>
  </si>
  <si>
    <t xml:space="preserve">Performances critiques</t>
  </si>
  <si>
    <t xml:space="preserve">Le calcul au fil de la saisie motive une bonne réactivité. Influence moyenne, sans contrainte de temps réel critique supposée.</t>
  </si>
  <si>
    <t xml:space="preserve">Environnement existant fortement utilisé</t>
  </si>
  <si>
    <t xml:space="preserve">Hypothèse : poste de bureau ordinaire, partagé avec d’autres applications. Aucune forte contention démontrée ; faible influence retenue.</t>
  </si>
  <si>
    <t xml:space="preserve">Entrées en ligne</t>
  </si>
  <si>
    <t xml:space="preserve">La saisie interactive des expressions est le mode principal d’utilisation. Influence forte sur la conception de l’interface.</t>
  </si>
  <si>
    <t xml:space="preserve">Saisie sur plusieurs écrans</t>
  </si>
  <si>
    <t xml:space="preserve">Le calcul courant tient dans la fenêtre principale. Des dialogues servent aux matrices ou fonctions ; influence faible.</t>
  </si>
  <si>
    <t xml:space="preserve">Mise à jour en ligne des fichiers maîtres</t>
  </si>
  <si>
    <t xml:space="preserve">Les définitions personnelles peuvent être modifiées et sauvegardées. Assimilation pédagogique à des données de référence, sans base métier centrale.</t>
  </si>
  <si>
    <t xml:space="preserve">Complexité des entrées, sorties et fichiers</t>
  </si>
  <si>
    <t xml:space="preserve">Expressions symboliques, unités et précision arbitraire imposent des représentations riches. Influence forte.</t>
  </si>
  <si>
    <t xml:space="preserve">https://github.com/Qalculate/libqalculate</t>
  </si>
  <si>
    <t xml:space="preserve">Complexité du traitement interne</t>
  </si>
  <si>
    <t xml:space="preserve">Calcul symbolique, équations, intégrales et propagation des incertitudes : traitements au cœur du produit. Influence critique retenue.</t>
  </si>
  <si>
    <t xml:space="preserve">Réutilisabilité du code</t>
  </si>
  <si>
    <t xml:space="preserve">Le moteur libqalculate est une bibliothèque distincte, utilisée par plusieurs interfaces. La réutilisation structure l’architecture.</t>
  </si>
  <si>
    <t xml:space="preserve">Conversion et installation prévues</t>
  </si>
  <si>
    <t xml:space="preserve">Installateurs, archives portables et paquets sont proposés. Installation prise en compte ; pas de migration métier complexe supposée.</t>
  </si>
  <si>
    <t xml:space="preserve">https://qalculate.github.io/downloads.html</t>
  </si>
  <si>
    <t xml:space="preserve">Multiples organisations ou plateformes</t>
  </si>
  <si>
    <t xml:space="preserve">Distribution pour Windows, macOS et GNU/Linux. La portabilité justifie une influence forte, sans supposer un système multi-organisations.</t>
  </si>
  <si>
    <t xml:space="preserve">Facilité d’utilisation</t>
  </si>
  <si>
    <t xml:space="preserve">Complétion, aide à la saisie et historique facilitent les calculs. L’ergonomie est retenue comme exigence centrale.</t>
  </si>
  <si>
    <t xml:space="preserve">Somme des 14 notes</t>
  </si>
  <si>
    <t xml:space="preserve">Constante du CM</t>
  </si>
  <si>
    <t xml:space="preserve">Coefficient du CM</t>
  </si>
  <si>
    <t xml:space="preserve">TFC = 0,65 + 0,01 × somme</t>
  </si>
  <si>
    <t xml:space="preserve">Source de la méthode : CM R5.A.08, pages 47-48 (formule et ordre des 14 facteurs). Le TD écrit TFC ; le CM emploie TCF.</t>
  </si>
  <si>
    <t xml:space="preserve">Le facteur obtenu concerne Qalculate! : il ne doit pas être multiplié par l’UFC de QuickSort, qui décrit un autre système.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</si>
</sst>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8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vertAlign val="subscript"/>
      <sz val="12"/>
      <color theme="1"/>
      <name val="Aptos Narrow"/>
      <family val="2"/>
      <charset val="1"/>
    </font>
    <font>
      <i val="true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5" activeCellId="0" sqref="A15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31.33"/>
    <col collapsed="false" customWidth="true" hidden="false" outlineLevel="0" max="3" min="3" style="1" width="33.51"/>
  </cols>
  <sheetData>
    <row r="1" customFormat="false" ht="17.45" hidden="false" customHeight="false" outlineLevel="0" collapsed="false">
      <c r="A1" s="2" t="s">
        <v>0</v>
      </c>
      <c r="B1" s="1" t="n">
        <v>1550</v>
      </c>
      <c r="D1" s="1"/>
      <c r="E1" s="1"/>
    </row>
    <row r="2" customFormat="false" ht="15.75" hidden="false" customHeight="false" outlineLevel="0" collapsed="false">
      <c r="A2" s="1" t="s">
        <v>1</v>
      </c>
      <c r="B2" s="1" t="n">
        <v>823</v>
      </c>
      <c r="D2" s="3"/>
      <c r="E2" s="1"/>
    </row>
    <row r="3" customFormat="false" ht="15.75" hidden="false" customHeight="false" outlineLevel="0" collapsed="false">
      <c r="A3" s="1" t="s">
        <v>2</v>
      </c>
      <c r="B3" s="1" t="n">
        <v>38</v>
      </c>
      <c r="D3" s="3"/>
      <c r="E3" s="1"/>
    </row>
    <row r="4" customFormat="false" ht="15.75" hidden="false" customHeight="false" outlineLevel="0" collapsed="false">
      <c r="A4" s="1" t="s">
        <v>3</v>
      </c>
      <c r="B4" s="1" t="n">
        <v>169</v>
      </c>
      <c r="D4" s="3"/>
      <c r="E4" s="1"/>
    </row>
    <row r="5" customFormat="false" ht="15.75" hidden="false" customHeight="false" outlineLevel="0" collapsed="false">
      <c r="B5" s="1"/>
      <c r="D5" s="3"/>
      <c r="E5" s="1"/>
    </row>
    <row r="6" customFormat="false" ht="15.75" hidden="false" customHeight="false" outlineLevel="0" collapsed="false">
      <c r="A6" s="0"/>
      <c r="D6" s="3"/>
      <c r="E6" s="1"/>
    </row>
    <row r="7" customFormat="false" ht="15.75" hidden="false" customHeight="false" outlineLevel="0" collapsed="false">
      <c r="A7" s="1" t="s">
        <v>4</v>
      </c>
      <c r="B7" s="1" t="n">
        <f aca="false">B1+B2</f>
        <v>2373</v>
      </c>
      <c r="D7" s="3"/>
      <c r="E7" s="1"/>
    </row>
    <row r="8" customFormat="false" ht="15.75" hidden="false" customHeight="false" outlineLevel="0" collapsed="false">
      <c r="A8" s="1" t="s">
        <v>5</v>
      </c>
      <c r="B8" s="1" t="n">
        <f aca="false">B3+B4</f>
        <v>207</v>
      </c>
      <c r="D8" s="3"/>
      <c r="E8" s="1"/>
    </row>
    <row r="9" customFormat="false" ht="17.4" hidden="false" customHeight="false" outlineLevel="0" collapsed="false">
      <c r="A9" s="1" t="s">
        <v>6</v>
      </c>
      <c r="B9" s="1" t="n">
        <f aca="false">B7*LOG(B8,2)</f>
        <v>18256.6445501459</v>
      </c>
      <c r="D9" s="3"/>
      <c r="E9" s="1"/>
    </row>
    <row r="10" customFormat="false" ht="15.75" hidden="false" customHeight="false" outlineLevel="0" collapsed="false">
      <c r="A10" s="1" t="s">
        <v>7</v>
      </c>
      <c r="B10" s="1" t="n">
        <f aca="false">(B3/2)*(B2/B4)</f>
        <v>92.5266272189349</v>
      </c>
      <c r="D10" s="3"/>
      <c r="E10" s="1"/>
    </row>
    <row r="11" customFormat="false" ht="15.75" hidden="false" customHeight="false" outlineLevel="0" collapsed="false">
      <c r="A11" s="1" t="s">
        <v>8</v>
      </c>
      <c r="B11" s="1" t="n">
        <f aca="false">B10*B9</f>
        <v>1689225.74455995</v>
      </c>
      <c r="D11" s="3"/>
      <c r="E11" s="1"/>
    </row>
    <row r="12" customFormat="false" ht="15.75" hidden="false" customHeight="false" outlineLevel="0" collapsed="false">
      <c r="B12" s="1"/>
      <c r="D12" s="3"/>
      <c r="E12" s="1"/>
    </row>
    <row r="13" customFormat="false" ht="15.75" hidden="false" customHeight="false" outlineLevel="0" collapsed="false">
      <c r="B13" s="1"/>
      <c r="D13" s="3"/>
      <c r="E13" s="1"/>
    </row>
    <row r="14" customFormat="false" ht="15.75" hidden="false" customHeight="false" outlineLevel="0" collapsed="false">
      <c r="B14" s="1"/>
      <c r="D14" s="3"/>
      <c r="E14" s="1"/>
    </row>
    <row r="15" customFormat="false" ht="15.75" hidden="false" customHeight="false" outlineLevel="0" collapsed="false">
      <c r="B15" s="1"/>
    </row>
    <row r="16" customFormat="false" ht="15.75" hidden="false" customHeight="false" outlineLevel="0" collapsed="false">
      <c r="B16" s="1"/>
    </row>
    <row r="17" customFormat="false" ht="15.75" hidden="false" customHeight="false" outlineLevel="0" collapsed="false">
      <c r="B17" s="1"/>
    </row>
    <row r="18" customFormat="false" ht="15.75" hidden="false" customHeight="false" outlineLevel="0" collapsed="false">
      <c r="B18" s="1"/>
    </row>
    <row r="19" customFormat="false" ht="15.75" hidden="false" customHeight="false" outlineLevel="0" collapsed="false">
      <c r="B19" s="1"/>
    </row>
    <row r="20" customFormat="false" ht="15.75" hidden="false" customHeight="false" outlineLevel="0" collapsed="false">
      <c r="B20" s="1"/>
    </row>
    <row r="21" customFormat="false" ht="15.75" hidden="false" customHeight="false" outlineLevel="0" collapsed="false">
      <c r="B21" s="1"/>
    </row>
    <row r="22" customFormat="false" ht="15.75" hidden="false" customHeight="false" outlineLevel="0" collapsed="false">
      <c r="A22" s="4"/>
      <c r="B22" s="3"/>
      <c r="C22" s="4"/>
      <c r="D22" s="3"/>
    </row>
    <row r="23" customFormat="false" ht="15.75" hidden="false" customHeight="false" outlineLevel="0" collapsed="false">
      <c r="A23" s="5"/>
      <c r="C23" s="6"/>
    </row>
    <row r="24" customFormat="false" ht="15.75" hidden="false" customHeight="false" outlineLevel="0" collapsed="false">
      <c r="A24" s="4"/>
      <c r="B24" s="3"/>
      <c r="C24" s="4"/>
      <c r="D24" s="3"/>
    </row>
    <row r="27" customFormat="false" ht="15.75" hidden="false" customHeight="false" outlineLevel="0" collapsed="false">
      <c r="B27" s="1"/>
    </row>
    <row r="28" customFormat="false" ht="15.75" hidden="false" customHeight="false" outlineLevel="0" collapsed="false">
      <c r="B28" s="1"/>
    </row>
    <row r="29" customFormat="false" ht="15.75" hidden="false" customHeight="false" outlineLevel="0" collapsed="false">
      <c r="B29" s="1"/>
    </row>
    <row r="30" customFormat="false" ht="15.75" hidden="false" customHeight="false" outlineLevel="0" collapsed="false">
      <c r="B30" s="1"/>
    </row>
    <row r="31" customFormat="false" ht="15.75" hidden="false" customHeight="false" outlineLevel="0" collapsed="false">
      <c r="B31" s="1"/>
    </row>
    <row r="32" customFormat="false" ht="15.75" hidden="false" customHeight="false" outlineLevel="0" collapsed="false">
      <c r="B32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5" activeCellId="0" sqref="C15"/>
    </sheetView>
  </sheetViews>
  <sheetFormatPr defaultColWidth="10.51171875" defaultRowHeight="15.75" zeroHeight="false" outlineLevelRow="0" outlineLevelCol="0"/>
  <sheetData>
    <row r="1" customFormat="false" ht="15.75" hidden="false" customHeight="false" outlineLevel="0" collapsed="false">
      <c r="A1" s="1" t="s">
        <v>9</v>
      </c>
      <c r="B1" s="1" t="n">
        <v>3070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23.83"/>
    <col collapsed="false" customWidth="true" hidden="false" outlineLevel="0" max="2" min="2" style="1" width="13"/>
  </cols>
  <sheetData>
    <row r="1" customFormat="false" ht="18.55" hidden="false" customHeight="false" outlineLevel="0" collapsed="false">
      <c r="A1" s="7" t="s">
        <v>10</v>
      </c>
      <c r="B1" s="8" t="s">
        <v>11</v>
      </c>
    </row>
    <row r="2" customFormat="false" ht="27" hidden="false" customHeight="true" outlineLevel="0" collapsed="false">
      <c r="A2" s="9" t="s">
        <v>12</v>
      </c>
      <c r="B2" s="10" t="n">
        <v>12</v>
      </c>
      <c r="C2" s="10"/>
      <c r="D2" s="10"/>
      <c r="E2" s="10"/>
      <c r="F2" s="10"/>
      <c r="G2" s="10"/>
    </row>
    <row r="3" customFormat="false" ht="31.5" hidden="false" customHeight="true" outlineLevel="0" collapsed="false">
      <c r="A3" s="11" t="s">
        <v>13</v>
      </c>
      <c r="B3" s="10" t="n">
        <v>14</v>
      </c>
      <c r="C3" s="10"/>
      <c r="D3" s="10"/>
      <c r="E3" s="10"/>
      <c r="F3" s="10"/>
      <c r="G3" s="10"/>
    </row>
    <row r="4" customFormat="false" ht="34.5" hidden="false" customHeight="true" outlineLevel="0" collapsed="false">
      <c r="A4" s="12" t="s">
        <v>14</v>
      </c>
      <c r="B4" s="10" t="n">
        <f aca="false">B3 - B2 + 2</f>
        <v>4</v>
      </c>
      <c r="C4" s="10"/>
      <c r="D4" s="10"/>
      <c r="E4" s="10"/>
      <c r="F4" s="10"/>
      <c r="G4" s="10"/>
    </row>
    <row r="5" customFormat="false" ht="15.75" hidden="false" customHeight="false" outlineLevel="0" collapsed="false">
      <c r="A5" s="13"/>
      <c r="B5" s="10"/>
      <c r="C5" s="10"/>
      <c r="D5" s="10"/>
      <c r="E5" s="10"/>
      <c r="F5" s="10"/>
      <c r="G5" s="10"/>
    </row>
    <row r="6" customFormat="false" ht="15.75" hidden="false" customHeight="false" outlineLevel="0" collapsed="false">
      <c r="A6" s="13"/>
      <c r="B6" s="10"/>
      <c r="C6" s="10"/>
      <c r="D6" s="10"/>
      <c r="E6" s="10"/>
      <c r="F6" s="10"/>
      <c r="G6" s="10"/>
    </row>
    <row r="7" customFormat="false" ht="15.75" hidden="false" customHeight="false" outlineLevel="0" collapsed="false">
      <c r="A7" s="13"/>
      <c r="B7" s="10"/>
      <c r="C7" s="10"/>
      <c r="D7" s="10"/>
      <c r="E7" s="10"/>
      <c r="F7" s="10"/>
      <c r="G7" s="10"/>
    </row>
    <row r="8" customFormat="false" ht="15.75" hidden="false" customHeight="false" outlineLevel="0" collapsed="false">
      <c r="A8" s="13"/>
      <c r="B8" s="10"/>
      <c r="C8" s="10"/>
      <c r="D8" s="10"/>
      <c r="E8" s="10"/>
      <c r="F8" s="10"/>
      <c r="G8" s="10"/>
    </row>
    <row r="9" customFormat="false" ht="15.75" hidden="false" customHeight="false" outlineLevel="0" collapsed="false">
      <c r="A9" s="13"/>
      <c r="B9" s="10"/>
      <c r="C9" s="10"/>
      <c r="D9" s="10"/>
      <c r="E9" s="10"/>
      <c r="F9" s="10"/>
      <c r="G9" s="10"/>
    </row>
    <row r="10" customFormat="false" ht="15.75" hidden="false" customHeight="false" outlineLevel="0" collapsed="false">
      <c r="A10" s="13"/>
      <c r="B10" s="10"/>
      <c r="C10" s="10"/>
      <c r="D10" s="10"/>
      <c r="E10" s="10"/>
      <c r="F10" s="10"/>
      <c r="G10" s="10"/>
    </row>
    <row r="11" customFormat="false" ht="15.75" hidden="false" customHeight="false" outlineLevel="0" collapsed="false">
      <c r="A11" s="13"/>
      <c r="B11" s="10"/>
      <c r="C11" s="10"/>
      <c r="D11" s="10"/>
      <c r="E11" s="10"/>
      <c r="F11" s="10"/>
      <c r="G11" s="10"/>
    </row>
    <row r="12" customFormat="false" ht="15.75" hidden="false" customHeight="false" outlineLevel="0" collapsed="false">
      <c r="A12" s="13"/>
      <c r="B12" s="10"/>
      <c r="C12" s="10"/>
      <c r="D12" s="10"/>
      <c r="E12" s="10"/>
      <c r="F12" s="10"/>
      <c r="G12" s="10"/>
    </row>
    <row r="13" customFormat="false" ht="15.75" hidden="false" customHeight="false" outlineLevel="0" collapsed="false">
      <c r="A13" s="13"/>
      <c r="B13" s="10"/>
      <c r="C13" s="10"/>
      <c r="D13" s="10"/>
      <c r="E13" s="10"/>
      <c r="F13" s="10"/>
      <c r="G13" s="10"/>
    </row>
    <row r="14" customFormat="false" ht="15.75" hidden="false" customHeight="false" outlineLevel="0" collapsed="false">
      <c r="A14" s="13"/>
      <c r="B14" s="10"/>
      <c r="C14" s="10"/>
      <c r="D14" s="10"/>
      <c r="E14" s="10"/>
      <c r="F14" s="10"/>
      <c r="G14" s="10"/>
    </row>
    <row r="15" customFormat="false" ht="15.75" hidden="false" customHeight="false" outlineLevel="0" collapsed="false">
      <c r="A15" s="13"/>
      <c r="B15" s="10"/>
      <c r="C15" s="10"/>
      <c r="D15" s="10"/>
      <c r="E15" s="10"/>
      <c r="F15" s="10"/>
      <c r="G15" s="10"/>
    </row>
    <row r="16" customFormat="false" ht="15.75" hidden="false" customHeight="false" outlineLevel="0" collapsed="false">
      <c r="A16" s="13"/>
      <c r="B16" s="10"/>
      <c r="C16" s="10"/>
      <c r="D16" s="10"/>
      <c r="E16" s="10"/>
      <c r="F16" s="10"/>
      <c r="G16" s="10"/>
    </row>
    <row r="17" customFormat="false" ht="15.75" hidden="false" customHeight="false" outlineLevel="0" collapsed="false">
      <c r="A17" s="13"/>
      <c r="B17" s="10"/>
      <c r="C17" s="10"/>
      <c r="D17" s="10"/>
      <c r="E17" s="10"/>
      <c r="F17" s="10"/>
      <c r="G17" s="10"/>
    </row>
    <row r="18" customFormat="false" ht="15.75" hidden="false" customHeight="false" outlineLevel="0" collapsed="false">
      <c r="A18" s="13"/>
      <c r="B18" s="10"/>
      <c r="C18" s="10"/>
      <c r="D18" s="10"/>
      <c r="E18" s="10"/>
      <c r="F18" s="10"/>
      <c r="G18" s="10"/>
    </row>
    <row r="19" customFormat="false" ht="15.75" hidden="false" customHeight="false" outlineLevel="0" collapsed="false">
      <c r="A19" s="13"/>
      <c r="B19" s="10"/>
      <c r="C19" s="10"/>
      <c r="D19" s="10"/>
      <c r="E19" s="10"/>
      <c r="F19" s="10"/>
      <c r="G19" s="10"/>
    </row>
    <row r="20" customFormat="false" ht="15.75" hidden="false" customHeight="false" outlineLevel="0" collapsed="false">
      <c r="A20" s="13"/>
      <c r="B20" s="10"/>
      <c r="C20" s="10"/>
      <c r="D20" s="10"/>
      <c r="E20" s="10"/>
      <c r="F20" s="10"/>
      <c r="G20" s="10"/>
    </row>
    <row r="21" customFormat="false" ht="15.75" hidden="false" customHeight="false" outlineLevel="0" collapsed="false">
      <c r="A21" s="13"/>
      <c r="B21" s="10"/>
      <c r="C21" s="10"/>
      <c r="D21" s="10"/>
      <c r="E21" s="10"/>
      <c r="F21" s="10"/>
      <c r="G21" s="10"/>
    </row>
    <row r="22" customFormat="false" ht="15.75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5.75" hidden="false" customHeight="false" outlineLevel="0" collapsed="false">
      <c r="A23" s="10"/>
      <c r="B23" s="10"/>
      <c r="C23" s="10"/>
      <c r="D23" s="10"/>
      <c r="E23" s="10"/>
      <c r="F23" s="10"/>
      <c r="G23" s="10"/>
    </row>
    <row r="24" customFormat="false" ht="15.75" hidden="false" customHeight="false" outlineLevel="0" collapsed="false">
      <c r="A24" s="10"/>
      <c r="B24" s="10"/>
      <c r="C24" s="10"/>
      <c r="D24" s="10"/>
      <c r="E24" s="10"/>
      <c r="F24" s="10"/>
      <c r="G24" s="10"/>
    </row>
    <row r="25" customFormat="false" ht="15.75" hidden="false" customHeight="false" outlineLevel="0" collapsed="false">
      <c r="A25" s="10"/>
      <c r="B25" s="10"/>
      <c r="C25" s="10"/>
      <c r="D25" s="10"/>
      <c r="E25" s="10"/>
      <c r="F25" s="10"/>
      <c r="G25" s="10"/>
    </row>
    <row r="26" customFormat="false" ht="15.75" hidden="false" customHeight="false" outlineLevel="0" collapsed="false">
      <c r="A26" s="10"/>
      <c r="B26" s="10"/>
      <c r="C26" s="10"/>
      <c r="D26" s="10"/>
      <c r="E26" s="10"/>
      <c r="F26" s="10"/>
      <c r="G26" s="10"/>
    </row>
    <row r="27" customFormat="false" ht="15.75" hidden="false" customHeight="false" outlineLevel="0" collapsed="false">
      <c r="A27" s="10"/>
      <c r="B27" s="10"/>
      <c r="C27" s="10"/>
      <c r="D27" s="10"/>
      <c r="E27" s="10"/>
      <c r="F27" s="10"/>
      <c r="G27" s="10"/>
    </row>
    <row r="28" customFormat="false" ht="15.75" hidden="false" customHeight="false" outlineLevel="0" collapsed="false">
      <c r="A28" s="10"/>
      <c r="B28" s="10"/>
      <c r="C28" s="10"/>
      <c r="D28" s="10"/>
      <c r="E28" s="10"/>
      <c r="F28" s="10"/>
      <c r="G28" s="10"/>
    </row>
    <row r="29" customFormat="false" ht="15.75" hidden="false" customHeight="false" outlineLevel="0" collapsed="false">
      <c r="A29" s="10"/>
      <c r="B29" s="10"/>
      <c r="C29" s="10"/>
      <c r="D29" s="10"/>
      <c r="E29" s="10"/>
      <c r="F29" s="10"/>
      <c r="G29" s="10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</row>
    <row r="31" customFormat="false" ht="15.75" hidden="false" customHeight="false" outlineLevel="0" collapsed="false">
      <c r="A31" s="10"/>
      <c r="B31" s="10"/>
      <c r="C31" s="10"/>
      <c r="D31" s="10"/>
      <c r="E31" s="10"/>
      <c r="F31" s="10"/>
      <c r="G31" s="10"/>
    </row>
    <row r="32" customFormat="false" ht="15.75" hidden="false" customHeight="false" outlineLevel="0" collapsed="false">
      <c r="A32" s="10"/>
      <c r="B32" s="10"/>
      <c r="C32" s="10"/>
      <c r="D32" s="10"/>
      <c r="E32" s="10"/>
      <c r="F32" s="10"/>
      <c r="G32" s="10"/>
    </row>
    <row r="33" customFormat="false" ht="15.75" hidden="false" customHeight="false" outlineLevel="0" collapsed="false">
      <c r="A33" s="10"/>
      <c r="B33" s="10"/>
      <c r="C33" s="10"/>
      <c r="D33" s="10"/>
      <c r="E33" s="10"/>
      <c r="F33" s="10"/>
      <c r="G33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3" activeCellId="0" sqref="E23"/>
    </sheetView>
  </sheetViews>
  <sheetFormatPr defaultColWidth="11.6640625" defaultRowHeight="15.75" zeroHeight="false" outlineLevelRow="0" outlineLevelCol="0"/>
  <cols>
    <col collapsed="false" customWidth="true" hidden="false" outlineLevel="0" max="1" min="1" style="1" width="17.67"/>
  </cols>
  <sheetData>
    <row r="1" customFormat="false" ht="35.25" hidden="false" customHeight="true" outlineLevel="0" collapsed="false">
      <c r="A1" s="14" t="s">
        <v>15</v>
      </c>
      <c r="B1" s="14"/>
    </row>
    <row r="2" customFormat="false" ht="20.25" hidden="false" customHeight="true" outlineLevel="0" collapsed="false">
      <c r="A2" s="15" t="s">
        <v>16</v>
      </c>
      <c r="B2" s="16" t="s">
        <v>17</v>
      </c>
      <c r="C2" s="16" t="s">
        <v>18</v>
      </c>
      <c r="D2" s="16" t="s">
        <v>19</v>
      </c>
    </row>
    <row r="3" customFormat="false" ht="18.75" hidden="false" customHeight="true" outlineLevel="0" collapsed="false">
      <c r="A3" s="17" t="s">
        <v>20</v>
      </c>
      <c r="B3" s="1" t="n">
        <v>3</v>
      </c>
      <c r="C3" s="1" t="n">
        <v>4</v>
      </c>
      <c r="D3" s="1" t="n">
        <v>6</v>
      </c>
    </row>
    <row r="4" customFormat="false" ht="19.5" hidden="false" customHeight="true" outlineLevel="0" collapsed="false">
      <c r="A4" s="17" t="s">
        <v>21</v>
      </c>
      <c r="B4" s="1" t="n">
        <v>4</v>
      </c>
      <c r="C4" s="1" t="n">
        <v>5</v>
      </c>
      <c r="D4" s="1" t="n">
        <v>7</v>
      </c>
    </row>
    <row r="5" customFormat="false" ht="19.5" hidden="false" customHeight="true" outlineLevel="0" collapsed="false">
      <c r="A5" s="17" t="s">
        <v>22</v>
      </c>
      <c r="B5" s="1" t="n">
        <v>3</v>
      </c>
      <c r="C5" s="1" t="n">
        <v>4</v>
      </c>
      <c r="D5" s="1" t="n">
        <v>6</v>
      </c>
    </row>
    <row r="6" customFormat="false" ht="21.75" hidden="false" customHeight="true" outlineLevel="0" collapsed="false">
      <c r="A6" s="17" t="s">
        <v>23</v>
      </c>
      <c r="B6" s="1" t="n">
        <v>7</v>
      </c>
      <c r="C6" s="1" t="n">
        <v>10</v>
      </c>
      <c r="D6" s="1" t="n">
        <v>15</v>
      </c>
    </row>
    <row r="7" customFormat="false" ht="21.75" hidden="false" customHeight="true" outlineLevel="0" collapsed="false">
      <c r="A7" s="17" t="s">
        <v>24</v>
      </c>
      <c r="B7" s="1" t="n">
        <v>5</v>
      </c>
      <c r="C7" s="1" t="n">
        <v>7</v>
      </c>
      <c r="D7" s="1" t="n">
        <v>10</v>
      </c>
    </row>
    <row r="10" customFormat="false" ht="32.25" hidden="false" customHeight="true" outlineLevel="0" collapsed="false">
      <c r="A10" s="14" t="s">
        <v>25</v>
      </c>
      <c r="B10" s="14"/>
    </row>
    <row r="11" customFormat="false" ht="15.75" hidden="false" customHeight="false" outlineLevel="0" collapsed="false">
      <c r="A11" s="15" t="s">
        <v>16</v>
      </c>
      <c r="B11" s="16" t="s">
        <v>17</v>
      </c>
      <c r="C11" s="16" t="s">
        <v>18</v>
      </c>
      <c r="D11" s="16" t="s">
        <v>19</v>
      </c>
    </row>
    <row r="12" customFormat="false" ht="18" hidden="false" customHeight="true" outlineLevel="0" collapsed="false">
      <c r="A12" s="17" t="s">
        <v>20</v>
      </c>
      <c r="B12" s="1" t="n">
        <v>4</v>
      </c>
      <c r="C12" s="1" t="n">
        <v>3</v>
      </c>
      <c r="D12" s="1" t="n">
        <v>1</v>
      </c>
    </row>
    <row r="13" customFormat="false" ht="18" hidden="false" customHeight="true" outlineLevel="0" collapsed="false">
      <c r="A13" s="17" t="s">
        <v>21</v>
      </c>
      <c r="B13" s="1" t="n">
        <v>0</v>
      </c>
      <c r="C13" s="1" t="n">
        <v>2</v>
      </c>
      <c r="D13" s="1" t="n">
        <v>1</v>
      </c>
    </row>
    <row r="14" customFormat="false" ht="18.75" hidden="false" customHeight="true" outlineLevel="0" collapsed="false">
      <c r="A14" s="17" t="s">
        <v>22</v>
      </c>
      <c r="B14" s="1" t="n">
        <v>7</v>
      </c>
      <c r="C14" s="1" t="n">
        <v>0</v>
      </c>
      <c r="D14" s="1" t="n">
        <v>0</v>
      </c>
    </row>
    <row r="15" customFormat="false" ht="18.75" hidden="false" customHeight="true" outlineLevel="0" collapsed="false">
      <c r="A15" s="17" t="s">
        <v>23</v>
      </c>
      <c r="B15" s="1" t="n">
        <v>3</v>
      </c>
      <c r="C15" s="1" t="n">
        <v>0</v>
      </c>
      <c r="D15" s="1" t="n">
        <v>0</v>
      </c>
    </row>
    <row r="16" customFormat="false" ht="18" hidden="false" customHeight="true" outlineLevel="0" collapsed="false">
      <c r="A16" s="17" t="s">
        <v>24</v>
      </c>
      <c r="B16" s="1" t="n">
        <v>0</v>
      </c>
      <c r="C16" s="1" t="n">
        <v>5</v>
      </c>
      <c r="D16" s="1" t="n">
        <v>2</v>
      </c>
    </row>
    <row r="17" customFormat="false" ht="8.25" hidden="false" customHeight="true" outlineLevel="0" collapsed="false">
      <c r="A17" s="18"/>
      <c r="B17" s="18"/>
      <c r="C17" s="18"/>
      <c r="D17" s="18"/>
    </row>
    <row r="18" customFormat="false" ht="7.5" hidden="false" customHeight="true" outlineLevel="0" collapsed="false"/>
    <row r="19" customFormat="false" ht="7.5" hidden="false" customHeight="true" outlineLevel="0" collapsed="false"/>
    <row r="20" customFormat="false" ht="33" hidden="false" customHeight="true" outlineLevel="0" collapsed="false">
      <c r="A20" s="19" t="s">
        <v>26</v>
      </c>
      <c r="B20" s="6" t="n">
        <f aca="false">SUMPRODUCT(B3:D7,B12:D16)</f>
        <v>144</v>
      </c>
    </row>
    <row r="21" customFormat="false" ht="27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83984375" defaultRowHeight="15.75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4"/>
  </cols>
  <sheetData>
    <row r="1" customFormat="false" ht="24" hidden="false" customHeight="true" outlineLevel="0" collapsed="false">
      <c r="A1" s="20" t="s">
        <v>27</v>
      </c>
      <c r="B1" s="21"/>
      <c r="C1" s="21"/>
      <c r="D1" s="21"/>
      <c r="E1" s="21"/>
      <c r="F1" s="21"/>
      <c r="G1" s="21"/>
      <c r="H1" s="21"/>
    </row>
    <row r="2" customFormat="false" ht="24" hidden="false" customHeight="true" outlineLevel="0" collapsed="false">
      <c r="A2" s="21"/>
      <c r="B2" s="21"/>
      <c r="C2" s="21"/>
      <c r="D2" s="21"/>
      <c r="E2" s="21"/>
      <c r="F2" s="21"/>
      <c r="G2" s="21"/>
      <c r="H2" s="21"/>
    </row>
    <row r="3" customFormat="false" ht="24" hidden="false" customHeight="true" outlineLevel="0" collapsed="false">
      <c r="A3" s="22" t="s">
        <v>16</v>
      </c>
      <c r="B3" s="22" t="s">
        <v>28</v>
      </c>
      <c r="C3" s="22"/>
      <c r="D3" s="22"/>
      <c r="E3" s="22" t="s">
        <v>29</v>
      </c>
      <c r="F3" s="22"/>
      <c r="G3" s="22"/>
      <c r="H3" s="22" t="s">
        <v>30</v>
      </c>
    </row>
    <row r="4" customFormat="false" ht="24" hidden="false" customHeight="true" outlineLevel="0" collapsed="false">
      <c r="A4" s="22"/>
      <c r="B4" s="22" t="s">
        <v>17</v>
      </c>
      <c r="C4" s="22" t="s">
        <v>18</v>
      </c>
      <c r="D4" s="22" t="s">
        <v>19</v>
      </c>
      <c r="E4" s="22" t="s">
        <v>17</v>
      </c>
      <c r="F4" s="22" t="s">
        <v>18</v>
      </c>
      <c r="G4" s="22" t="s">
        <v>19</v>
      </c>
      <c r="H4" s="22"/>
    </row>
    <row r="5" customFormat="false" ht="24" hidden="false" customHeight="true" outlineLevel="0" collapsed="false">
      <c r="A5" s="21" t="s">
        <v>20</v>
      </c>
      <c r="B5" s="23" t="n">
        <v>3</v>
      </c>
      <c r="C5" s="23" t="n">
        <v>4</v>
      </c>
      <c r="D5" s="23" t="n">
        <v>6</v>
      </c>
      <c r="E5" s="24" t="n">
        <v>1</v>
      </c>
      <c r="F5" s="24" t="n">
        <v>0</v>
      </c>
      <c r="G5" s="24" t="n">
        <v>0</v>
      </c>
      <c r="H5" s="23" t="n">
        <f aca="false">B5*E5+C5*F5+D5*G5</f>
        <v>3</v>
      </c>
    </row>
    <row r="6" customFormat="false" ht="24" hidden="false" customHeight="true" outlineLevel="0" collapsed="false">
      <c r="A6" s="21" t="s">
        <v>21</v>
      </c>
      <c r="B6" s="23" t="n">
        <v>4</v>
      </c>
      <c r="C6" s="23" t="n">
        <v>5</v>
      </c>
      <c r="D6" s="23" t="n">
        <v>7</v>
      </c>
      <c r="E6" s="24" t="n">
        <v>1</v>
      </c>
      <c r="F6" s="24" t="n">
        <v>0</v>
      </c>
      <c r="G6" s="24" t="n">
        <v>0</v>
      </c>
      <c r="H6" s="23" t="n">
        <f aca="false">B6*E6+C6*F6+D6*G6</f>
        <v>4</v>
      </c>
    </row>
    <row r="7" customFormat="false" ht="24" hidden="false" customHeight="true" outlineLevel="0" collapsed="false">
      <c r="A7" s="21" t="s">
        <v>31</v>
      </c>
      <c r="B7" s="23" t="n">
        <v>3</v>
      </c>
      <c r="C7" s="23" t="n">
        <v>4</v>
      </c>
      <c r="D7" s="23" t="n">
        <v>6</v>
      </c>
      <c r="E7" s="24" t="n">
        <v>0</v>
      </c>
      <c r="F7" s="24" t="n">
        <v>0</v>
      </c>
      <c r="G7" s="24" t="n">
        <v>0</v>
      </c>
      <c r="H7" s="23" t="n">
        <f aca="false">B7*E7+C7*F7+D7*G7</f>
        <v>0</v>
      </c>
    </row>
    <row r="8" customFormat="false" ht="24" hidden="false" customHeight="true" outlineLevel="0" collapsed="false">
      <c r="A8" s="21" t="s">
        <v>23</v>
      </c>
      <c r="B8" s="23" t="n">
        <v>7</v>
      </c>
      <c r="C8" s="23" t="n">
        <v>10</v>
      </c>
      <c r="D8" s="23" t="n">
        <v>15</v>
      </c>
      <c r="E8" s="24" t="n">
        <v>0</v>
      </c>
      <c r="F8" s="24" t="n">
        <v>0</v>
      </c>
      <c r="G8" s="24" t="n">
        <v>0</v>
      </c>
      <c r="H8" s="23" t="n">
        <f aca="false">B8*E8+C8*F8+D8*G8</f>
        <v>0</v>
      </c>
    </row>
    <row r="9" customFormat="false" ht="24" hidden="false" customHeight="true" outlineLevel="0" collapsed="false">
      <c r="A9" s="21" t="s">
        <v>24</v>
      </c>
      <c r="B9" s="23" t="n">
        <v>5</v>
      </c>
      <c r="C9" s="23" t="n">
        <v>7</v>
      </c>
      <c r="D9" s="23" t="n">
        <v>10</v>
      </c>
      <c r="E9" s="24" t="n">
        <v>0</v>
      </c>
      <c r="F9" s="24" t="n">
        <v>0</v>
      </c>
      <c r="G9" s="24" t="n">
        <v>0</v>
      </c>
      <c r="H9" s="23" t="n">
        <f aca="false">B9*E9+C9*F9+D9*G9</f>
        <v>0</v>
      </c>
    </row>
    <row r="10" customFormat="false" ht="24" hidden="false" customHeight="true" outlineLevel="0" collapsed="false">
      <c r="A10" s="22" t="s">
        <v>32</v>
      </c>
      <c r="B10" s="25"/>
      <c r="C10" s="25"/>
      <c r="D10" s="25"/>
      <c r="E10" s="25"/>
      <c r="F10" s="25"/>
      <c r="G10" s="25"/>
      <c r="H10" s="25" t="n">
        <f aca="false">SUM(H5:H9)</f>
        <v>7</v>
      </c>
    </row>
    <row r="11" customFormat="false" ht="24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</row>
    <row r="12" customFormat="false" ht="24" hidden="false" customHeight="true" outlineLevel="0" collapsed="false">
      <c r="A12" s="26" t="s">
        <v>33</v>
      </c>
      <c r="B12" s="21"/>
      <c r="C12" s="21"/>
      <c r="D12" s="21"/>
      <c r="E12" s="21"/>
      <c r="F12" s="21"/>
      <c r="G12" s="21"/>
      <c r="H12" s="21"/>
    </row>
    <row r="13" customFormat="false" ht="33.75" hidden="false" customHeight="true" outlineLevel="0" collapsed="false">
      <c r="A13" s="27" t="s">
        <v>34</v>
      </c>
      <c r="B13" s="27"/>
      <c r="C13" s="27"/>
      <c r="D13" s="27"/>
      <c r="E13" s="27"/>
      <c r="F13" s="27"/>
      <c r="G13" s="27"/>
      <c r="H13" s="27"/>
    </row>
    <row r="14" customFormat="false" ht="33.75" hidden="false" customHeight="true" outlineLevel="0" collapsed="false">
      <c r="A14" s="27" t="s">
        <v>35</v>
      </c>
      <c r="B14" s="27"/>
      <c r="C14" s="27"/>
      <c r="D14" s="27"/>
      <c r="E14" s="27"/>
      <c r="F14" s="27"/>
      <c r="G14" s="27"/>
      <c r="H14" s="27"/>
    </row>
    <row r="15" customFormat="false" ht="33.75" hidden="false" customHeight="true" outlineLevel="0" collapsed="false">
      <c r="A15" s="27" t="s">
        <v>36</v>
      </c>
      <c r="B15" s="27"/>
      <c r="C15" s="27"/>
      <c r="D15" s="27"/>
      <c r="E15" s="27"/>
      <c r="F15" s="27"/>
      <c r="G15" s="27"/>
      <c r="H15" s="27"/>
    </row>
    <row r="16" customFormat="false" ht="33.75" hidden="false" customHeight="true" outlineLevel="0" collapsed="false">
      <c r="A16" s="27" t="s">
        <v>37</v>
      </c>
      <c r="B16" s="27"/>
      <c r="C16" s="27"/>
      <c r="D16" s="27"/>
      <c r="E16" s="27"/>
      <c r="F16" s="27"/>
      <c r="G16" s="27"/>
      <c r="H16" s="27"/>
    </row>
    <row r="17" customFormat="false" ht="33.75" hidden="false" customHeight="true" outlineLevel="0" collapsed="false">
      <c r="A17" s="27" t="s">
        <v>38</v>
      </c>
      <c r="B17" s="27"/>
      <c r="C17" s="27"/>
      <c r="D17" s="27"/>
      <c r="E17" s="27"/>
      <c r="F17" s="27"/>
      <c r="G17" s="27"/>
      <c r="H17" s="27"/>
    </row>
    <row r="18" customFormat="false" ht="33.75" hidden="false" customHeight="true" outlineLevel="0" collapsed="false">
      <c r="A18" s="27" t="s">
        <v>39</v>
      </c>
      <c r="B18" s="27"/>
      <c r="C18" s="27"/>
      <c r="D18" s="27"/>
      <c r="E18" s="27"/>
      <c r="F18" s="27"/>
      <c r="G18" s="27"/>
      <c r="H18" s="27"/>
    </row>
    <row r="19" customFormat="false" ht="33.75" hidden="false" customHeight="true" outlineLevel="0" collapsed="false">
      <c r="A19" s="27" t="s">
        <v>40</v>
      </c>
      <c r="B19" s="27"/>
      <c r="C19" s="27"/>
      <c r="D19" s="27"/>
      <c r="E19" s="27"/>
      <c r="F19" s="27"/>
      <c r="G19" s="27"/>
      <c r="H19" s="27"/>
    </row>
    <row r="20" customFormat="false" ht="33.75" hidden="false" customHeight="true" outlineLevel="0" collapsed="false">
      <c r="A20" s="27" t="s">
        <v>41</v>
      </c>
      <c r="B20" s="27"/>
      <c r="C20" s="27"/>
      <c r="D20" s="27"/>
      <c r="E20" s="27"/>
      <c r="F20" s="27"/>
      <c r="G20" s="27"/>
      <c r="H20" s="27"/>
    </row>
    <row r="21" customFormat="false" ht="33.75" hidden="false" customHeight="true" outlineLevel="0" collapsed="false">
      <c r="A21" s="27" t="s">
        <v>42</v>
      </c>
      <c r="B21" s="27"/>
      <c r="C21" s="27"/>
      <c r="D21" s="27"/>
      <c r="E21" s="27"/>
      <c r="F21" s="27"/>
      <c r="G21" s="27"/>
      <c r="H21" s="27"/>
    </row>
  </sheetData>
  <mergeCells count="9"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3" activeCellId="0" sqref="B3"/>
    </sheetView>
  </sheetViews>
  <sheetFormatPr defaultColWidth="9.34375" defaultRowHeight="12.8" zeroHeight="false" outlineLevelRow="0" outlineLevelCol="0"/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43</v>
      </c>
      <c r="B2" s="1" t="n">
        <f aca="false">Halstead!B30</f>
        <v>0</v>
      </c>
    </row>
    <row r="3" customFormat="false" ht="15" hidden="false" customHeight="false" outlineLevel="0" collapsed="false">
      <c r="A3" s="1" t="s">
        <v>44</v>
      </c>
      <c r="B3" s="1" t="n">
        <v>12</v>
      </c>
    </row>
    <row r="4" customFormat="false" ht="15" hidden="false" customHeight="false" outlineLevel="0" collapsed="false">
      <c r="A4" s="1" t="s">
        <v>45</v>
      </c>
      <c r="B4" s="1" t="n">
        <f aca="false">CC!B4</f>
        <v>4</v>
      </c>
    </row>
    <row r="5" customFormat="false" ht="15" hidden="false" customHeight="false" outlineLevel="0" collapsed="false">
      <c r="A5" s="1" t="s">
        <v>46</v>
      </c>
      <c r="B5" s="1" t="n">
        <v>0</v>
      </c>
    </row>
    <row r="6" customFormat="false" ht="15" hidden="false" customHeight="false" outlineLevel="0" collapsed="false"/>
    <row r="7" customFormat="false" ht="15" hidden="false" customHeight="false" outlineLevel="0" collapsed="false">
      <c r="A7" s="1" t="s">
        <v>47</v>
      </c>
      <c r="B7" s="1" t="e">
        <f aca="false">171 - 5.2*LN(B2) - 0.23*B4 - 16.2*LN(B3) + 50*SIN(SQRT(2.46 * B5))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5" activeCellId="0" sqref="C5"/>
    </sheetView>
  </sheetViews>
  <sheetFormatPr defaultColWidth="9.34375" defaultRowHeight="12.8" zeroHeight="false" outlineLevelRow="0" outlineLevelCol="0"/>
  <cols>
    <col collapsed="false" customWidth="true" hidden="false" outlineLevel="0" max="1" min="1" style="1" width="17.37"/>
    <col collapsed="false" customWidth="true" hidden="false" outlineLevel="0" max="2" min="2" style="1" width="10.37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8" t="s">
        <v>43</v>
      </c>
      <c r="B2" s="1" t="n">
        <f aca="false">Halstead!B30</f>
        <v>0</v>
      </c>
    </row>
    <row r="3" customFormat="false" ht="18.7" hidden="false" customHeight="true" outlineLevel="0" collapsed="false">
      <c r="A3" s="18" t="s">
        <v>48</v>
      </c>
      <c r="B3" s="1" t="n">
        <v>12</v>
      </c>
    </row>
    <row r="4" customFormat="false" ht="15" hidden="false" customHeight="false" outlineLevel="0" collapsed="false">
      <c r="A4" s="18" t="s">
        <v>45</v>
      </c>
      <c r="B4" s="1" t="n">
        <f aca="false">CC!B4</f>
        <v>4</v>
      </c>
    </row>
    <row r="5" customFormat="false" ht="15" hidden="false" customHeight="false" outlineLevel="0" collapsed="false">
      <c r="A5" s="18" t="s">
        <v>46</v>
      </c>
      <c r="B5" s="1" t="n">
        <f aca="false">(10/12)*100</f>
        <v>83.3333333333333</v>
      </c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8" t="s">
        <v>47</v>
      </c>
      <c r="B7" s="1" t="e">
        <f aca="false">171 - 5.2*LN(B2) - 0.23*B4 - 16.2*LN(B3) + 50*SIN(SQRT(2.46 * B5))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4414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9"/>
    <col collapsed="false" customWidth="true" hidden="false" outlineLevel="0" max="3" min="3" style="1" width="12"/>
    <col collapsed="false" customWidth="true" hidden="false" outlineLevel="0" max="4" min="4" style="1" width="72"/>
    <col collapsed="false" customWidth="true" hidden="false" outlineLevel="0" max="5" min="5" style="1" width="47"/>
  </cols>
  <sheetData>
    <row r="1" customFormat="false" ht="30" hidden="false" customHeight="true" outlineLevel="0" collapsed="false">
      <c r="A1" s="28" t="s">
        <v>49</v>
      </c>
      <c r="B1" s="28"/>
      <c r="C1" s="28"/>
      <c r="D1" s="28"/>
      <c r="E1" s="28"/>
    </row>
    <row r="2" customFormat="false" ht="30" hidden="false" customHeight="true" outlineLevel="0" collapsed="false">
      <c r="A2" s="29" t="s">
        <v>50</v>
      </c>
      <c r="B2" s="29"/>
      <c r="C2" s="29"/>
      <c r="D2" s="29"/>
      <c r="E2" s="29"/>
    </row>
    <row r="3" customFormat="false" ht="30" hidden="false" customHeight="true" outlineLevel="0" collapsed="false">
      <c r="A3" s="29" t="s">
        <v>51</v>
      </c>
      <c r="B3" s="29"/>
      <c r="C3" s="29"/>
      <c r="D3" s="29"/>
      <c r="E3" s="29"/>
    </row>
    <row r="4" customFormat="false" ht="30" hidden="false" customHeight="true" outlineLevel="0" collapsed="false">
      <c r="A4" s="29" t="s">
        <v>52</v>
      </c>
      <c r="B4" s="29"/>
      <c r="C4" s="29"/>
      <c r="D4" s="29"/>
      <c r="E4" s="29"/>
    </row>
    <row r="5" customFormat="false" ht="30" hidden="false" customHeight="true" outlineLevel="0" collapsed="false">
      <c r="A5" s="29" t="s">
        <v>53</v>
      </c>
      <c r="B5" s="29"/>
      <c r="C5" s="29"/>
      <c r="D5" s="29"/>
      <c r="E5" s="29"/>
    </row>
    <row r="6" customFormat="false" ht="15" hidden="false" customHeight="false" outlineLevel="0" collapsed="false">
      <c r="A6" s="29"/>
      <c r="B6" s="29"/>
      <c r="C6" s="29"/>
      <c r="D6" s="29"/>
      <c r="E6" s="29"/>
    </row>
    <row r="7" customFormat="false" ht="32" hidden="false" customHeight="true" outlineLevel="0" collapsed="false">
      <c r="A7" s="30" t="s">
        <v>54</v>
      </c>
      <c r="B7" s="30" t="s">
        <v>55</v>
      </c>
      <c r="C7" s="30" t="s">
        <v>56</v>
      </c>
      <c r="D7" s="30" t="s">
        <v>57</v>
      </c>
      <c r="E7" s="30" t="s">
        <v>58</v>
      </c>
    </row>
    <row r="8" customFormat="false" ht="68" hidden="false" customHeight="true" outlineLevel="0" collapsed="false">
      <c r="A8" s="31" t="n">
        <v>1</v>
      </c>
      <c r="B8" s="31" t="s">
        <v>59</v>
      </c>
      <c r="C8" s="32" t="n">
        <v>2</v>
      </c>
      <c r="D8" s="31" t="s">
        <v>60</v>
      </c>
      <c r="E8" s="33" t="s">
        <v>61</v>
      </c>
    </row>
    <row r="9" customFormat="false" ht="68" hidden="false" customHeight="true" outlineLevel="0" collapsed="false">
      <c r="A9" s="31" t="n">
        <v>2</v>
      </c>
      <c r="B9" s="31" t="s">
        <v>62</v>
      </c>
      <c r="C9" s="32" t="n">
        <v>2</v>
      </c>
      <c r="D9" s="31" t="s">
        <v>63</v>
      </c>
      <c r="E9" s="33" t="s">
        <v>64</v>
      </c>
    </row>
    <row r="10" customFormat="false" ht="68" hidden="false" customHeight="true" outlineLevel="0" collapsed="false">
      <c r="A10" s="31" t="n">
        <v>3</v>
      </c>
      <c r="B10" s="31" t="s">
        <v>65</v>
      </c>
      <c r="C10" s="32" t="n">
        <v>0</v>
      </c>
      <c r="D10" s="31" t="s">
        <v>66</v>
      </c>
      <c r="E10" s="33" t="s">
        <v>67</v>
      </c>
    </row>
    <row r="11" customFormat="false" ht="68" hidden="false" customHeight="true" outlineLevel="0" collapsed="false">
      <c r="A11" s="31" t="n">
        <v>4</v>
      </c>
      <c r="B11" s="31" t="s">
        <v>68</v>
      </c>
      <c r="C11" s="32" t="n">
        <v>3</v>
      </c>
      <c r="D11" s="31" t="s">
        <v>69</v>
      </c>
      <c r="E11" s="33" t="s">
        <v>67</v>
      </c>
    </row>
    <row r="12" customFormat="false" ht="68" hidden="false" customHeight="true" outlineLevel="0" collapsed="false">
      <c r="A12" s="31" t="n">
        <v>5</v>
      </c>
      <c r="B12" s="31" t="s">
        <v>70</v>
      </c>
      <c r="C12" s="32" t="n">
        <v>1</v>
      </c>
      <c r="D12" s="31" t="s">
        <v>71</v>
      </c>
      <c r="E12" s="33" t="s">
        <v>67</v>
      </c>
    </row>
    <row r="13" customFormat="false" ht="68" hidden="false" customHeight="true" outlineLevel="0" collapsed="false">
      <c r="A13" s="31" t="n">
        <v>6</v>
      </c>
      <c r="B13" s="31" t="s">
        <v>72</v>
      </c>
      <c r="C13" s="32" t="n">
        <v>4</v>
      </c>
      <c r="D13" s="31" t="s">
        <v>73</v>
      </c>
      <c r="E13" s="33" t="s">
        <v>61</v>
      </c>
    </row>
    <row r="14" customFormat="false" ht="68" hidden="false" customHeight="true" outlineLevel="0" collapsed="false">
      <c r="A14" s="31" t="n">
        <v>7</v>
      </c>
      <c r="B14" s="31" t="s">
        <v>74</v>
      </c>
      <c r="C14" s="32" t="n">
        <v>1</v>
      </c>
      <c r="D14" s="31" t="s">
        <v>75</v>
      </c>
      <c r="E14" s="33" t="s">
        <v>61</v>
      </c>
    </row>
    <row r="15" customFormat="false" ht="68" hidden="false" customHeight="true" outlineLevel="0" collapsed="false">
      <c r="A15" s="31" t="n">
        <v>8</v>
      </c>
      <c r="B15" s="31" t="s">
        <v>76</v>
      </c>
      <c r="C15" s="32" t="n">
        <v>2</v>
      </c>
      <c r="D15" s="31" t="s">
        <v>77</v>
      </c>
      <c r="E15" s="33" t="s">
        <v>61</v>
      </c>
    </row>
    <row r="16" customFormat="false" ht="68" hidden="false" customHeight="true" outlineLevel="0" collapsed="false">
      <c r="A16" s="31" t="n">
        <v>9</v>
      </c>
      <c r="B16" s="31" t="s">
        <v>78</v>
      </c>
      <c r="C16" s="32" t="n">
        <v>4</v>
      </c>
      <c r="D16" s="31" t="s">
        <v>79</v>
      </c>
      <c r="E16" s="33" t="s">
        <v>80</v>
      </c>
    </row>
    <row r="17" customFormat="false" ht="68" hidden="false" customHeight="true" outlineLevel="0" collapsed="false">
      <c r="A17" s="31" t="n">
        <v>10</v>
      </c>
      <c r="B17" s="31" t="s">
        <v>81</v>
      </c>
      <c r="C17" s="32" t="n">
        <v>5</v>
      </c>
      <c r="D17" s="31" t="s">
        <v>82</v>
      </c>
      <c r="E17" s="33" t="s">
        <v>80</v>
      </c>
    </row>
    <row r="18" customFormat="false" ht="68" hidden="false" customHeight="true" outlineLevel="0" collapsed="false">
      <c r="A18" s="31" t="n">
        <v>11</v>
      </c>
      <c r="B18" s="31" t="s">
        <v>83</v>
      </c>
      <c r="C18" s="32" t="n">
        <v>5</v>
      </c>
      <c r="D18" s="31" t="s">
        <v>84</v>
      </c>
      <c r="E18" s="33" t="s">
        <v>80</v>
      </c>
    </row>
    <row r="19" customFormat="false" ht="68" hidden="false" customHeight="true" outlineLevel="0" collapsed="false">
      <c r="A19" s="31" t="n">
        <v>12</v>
      </c>
      <c r="B19" s="31" t="s">
        <v>85</v>
      </c>
      <c r="C19" s="32" t="n">
        <v>3</v>
      </c>
      <c r="D19" s="31" t="s">
        <v>86</v>
      </c>
      <c r="E19" s="33" t="s">
        <v>87</v>
      </c>
    </row>
    <row r="20" customFormat="false" ht="68" hidden="false" customHeight="true" outlineLevel="0" collapsed="false">
      <c r="A20" s="31" t="n">
        <v>13</v>
      </c>
      <c r="B20" s="31" t="s">
        <v>88</v>
      </c>
      <c r="C20" s="32" t="n">
        <v>4</v>
      </c>
      <c r="D20" s="31" t="s">
        <v>89</v>
      </c>
      <c r="E20" s="33" t="s">
        <v>87</v>
      </c>
    </row>
    <row r="21" customFormat="false" ht="68" hidden="false" customHeight="true" outlineLevel="0" collapsed="false">
      <c r="A21" s="31" t="n">
        <v>14</v>
      </c>
      <c r="B21" s="31" t="s">
        <v>90</v>
      </c>
      <c r="C21" s="32" t="n">
        <v>5</v>
      </c>
      <c r="D21" s="31" t="s">
        <v>91</v>
      </c>
      <c r="E21" s="33" t="s">
        <v>67</v>
      </c>
    </row>
    <row r="22" customFormat="false" ht="15" hidden="false" customHeight="false" outlineLevel="0" collapsed="false">
      <c r="A22" s="29"/>
      <c r="B22" s="29"/>
      <c r="C22" s="34"/>
      <c r="D22" s="29"/>
      <c r="E22" s="29"/>
    </row>
    <row r="23" customFormat="false" ht="28" hidden="false" customHeight="true" outlineLevel="0" collapsed="false">
      <c r="A23" s="29"/>
      <c r="B23" s="29" t="s">
        <v>92</v>
      </c>
      <c r="C23" s="34" t="n">
        <f aca="false">SUM(C8:C21)</f>
        <v>41</v>
      </c>
      <c r="D23" s="29"/>
      <c r="E23" s="29"/>
    </row>
    <row r="24" customFormat="false" ht="28" hidden="false" customHeight="true" outlineLevel="0" collapsed="false">
      <c r="A24" s="29"/>
      <c r="B24" s="29" t="s">
        <v>93</v>
      </c>
      <c r="C24" s="35" t="n">
        <v>0.65</v>
      </c>
      <c r="D24" s="29"/>
      <c r="E24" s="29"/>
    </row>
    <row r="25" customFormat="false" ht="28" hidden="false" customHeight="true" outlineLevel="0" collapsed="false">
      <c r="A25" s="29"/>
      <c r="B25" s="29" t="s">
        <v>94</v>
      </c>
      <c r="C25" s="35" t="n">
        <v>0.01</v>
      </c>
      <c r="D25" s="29"/>
      <c r="E25" s="29"/>
    </row>
    <row r="26" customFormat="false" ht="28" hidden="false" customHeight="true" outlineLevel="0" collapsed="false">
      <c r="A26" s="29"/>
      <c r="B26" s="30" t="s">
        <v>95</v>
      </c>
      <c r="C26" s="36" t="n">
        <f aca="false">C24+C25*C23</f>
        <v>1.06</v>
      </c>
      <c r="D26" s="29"/>
      <c r="E26" s="29"/>
    </row>
    <row r="27" customFormat="false" ht="15" hidden="false" customHeight="false" outlineLevel="0" collapsed="false">
      <c r="A27" s="29"/>
      <c r="B27" s="29"/>
      <c r="C27" s="29"/>
      <c r="D27" s="29"/>
      <c r="E27" s="29"/>
    </row>
    <row r="28" customFormat="false" ht="32" hidden="false" customHeight="true" outlineLevel="0" collapsed="false">
      <c r="A28" s="29" t="s">
        <v>96</v>
      </c>
      <c r="B28" s="29"/>
      <c r="C28" s="29"/>
      <c r="D28" s="29"/>
      <c r="E28" s="29"/>
    </row>
    <row r="29" customFormat="false" ht="32" hidden="false" customHeight="true" outlineLevel="0" collapsed="false">
      <c r="A29" s="29" t="s">
        <v>97</v>
      </c>
      <c r="B29" s="29"/>
      <c r="C29" s="29"/>
      <c r="D29" s="29"/>
      <c r="E29" s="29"/>
    </row>
  </sheetData>
  <mergeCells count="7">
    <mergeCell ref="A1:E1"/>
    <mergeCell ref="A2:E2"/>
    <mergeCell ref="A3:E3"/>
    <mergeCell ref="A4:E4"/>
    <mergeCell ref="A5:E5"/>
    <mergeCell ref="A28:E28"/>
    <mergeCell ref="A29:E29"/>
  </mergeCells>
  <dataValidations count="1">
    <dataValidation allowBlank="false" errorStyle="stop" operator="between" showDropDown="false" showErrorMessage="false" showInputMessage="false" sqref="C8:C21" type="whole">
      <formula1>0</formula1>
      <formula2>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2026-10-08T16:58:22Z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